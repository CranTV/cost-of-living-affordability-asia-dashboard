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mutsarikaya/Desktop/Project/Cost of Living Affordability/"/>
    </mc:Choice>
  </mc:AlternateContent>
  <xr:revisionPtr revIDLastSave="0" documentId="13_ncr:1_{F827E501-F20F-BA44-B9D1-622B2D438314}" xr6:coauthVersionLast="47" xr6:coauthVersionMax="47" xr10:uidLastSave="{00000000-0000-0000-0000-000000000000}"/>
  <bookViews>
    <workbookView xWindow="0" yWindow="660" windowWidth="30240" windowHeight="18980" xr2:uid="{6DE23100-0B8B-2C4F-8CFD-4B9824003657}"/>
  </bookViews>
  <sheets>
    <sheet name="Intro" sheetId="5" r:id="rId1"/>
    <sheet name="Raw Data" sheetId="4" r:id="rId2"/>
    <sheet name="Data" sheetId="2" r:id="rId3"/>
    <sheet name="Key Insights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2" l="1"/>
  <c r="L3" i="2" s="1"/>
  <c r="K4" i="2"/>
  <c r="K5" i="2"/>
  <c r="K6" i="2"/>
  <c r="K7" i="2"/>
  <c r="K8" i="2"/>
  <c r="L6" i="2"/>
  <c r="J3" i="2"/>
  <c r="L8" i="2"/>
  <c r="L7" i="2"/>
  <c r="L5" i="2"/>
  <c r="L4" i="2"/>
  <c r="N3" i="2"/>
  <c r="N8" i="2"/>
  <c r="N5" i="2"/>
  <c r="N4" i="2"/>
  <c r="N7" i="2"/>
  <c r="N6" i="2"/>
  <c r="P7" i="2"/>
  <c r="P6" i="2"/>
  <c r="O6" i="2"/>
  <c r="J6" i="2"/>
  <c r="P3" i="2"/>
  <c r="O3" i="2"/>
  <c r="O7" i="2"/>
  <c r="J7" i="2"/>
  <c r="P4" i="2"/>
  <c r="O4" i="2"/>
  <c r="J4" i="2"/>
  <c r="P5" i="2"/>
  <c r="O5" i="2"/>
  <c r="J5" i="2"/>
  <c r="P8" i="2"/>
  <c r="O8" i="2"/>
  <c r="J8" i="2"/>
  <c r="M8" i="2" s="1"/>
  <c r="M7" i="2" l="1"/>
  <c r="M4" i="2"/>
  <c r="M6" i="2"/>
  <c r="M3" i="2"/>
  <c r="M5" i="2"/>
</calcChain>
</file>

<file path=xl/sharedStrings.xml><?xml version="1.0" encoding="utf-8"?>
<sst xmlns="http://schemas.openxmlformats.org/spreadsheetml/2006/main" count="637" uniqueCount="620">
  <si>
    <t>Rank</t>
  </si>
  <si>
    <t>City</t>
  </si>
  <si>
    <t>Country</t>
  </si>
  <si>
    <t>Region</t>
  </si>
  <si>
    <t>Affordability</t>
  </si>
  <si>
    <t>Afford. vs Avg</t>
  </si>
  <si>
    <t>Afford. Category</t>
  </si>
  <si>
    <t>Groc–Rest Gap</t>
  </si>
  <si>
    <t>Singapore</t>
  </si>
  <si>
    <t>Southeast Asia</t>
  </si>
  <si>
    <t>Seoul</t>
  </si>
  <si>
    <t>South Korea</t>
  </si>
  <si>
    <t>East Asia</t>
  </si>
  <si>
    <t>Tokyo</t>
  </si>
  <si>
    <t>Japan</t>
  </si>
  <si>
    <t>Bangkok</t>
  </si>
  <si>
    <t>Thailand</t>
  </si>
  <si>
    <t>Kuala Lumpur</t>
  </si>
  <si>
    <t>Malaysia</t>
  </si>
  <si>
    <t>Jakarta</t>
  </si>
  <si>
    <t>Indonesia</t>
  </si>
  <si>
    <t>Cost of Living Analysis — Key Insights</t>
  </si>
  <si>
    <t>Six Major Asian Cities</t>
  </si>
  <si>
    <t>OBJECTIVE</t>
  </si>
  <si>
    <t>Assess differences in cost structure and affordability across major Asian cities to support location decisions and cost comparisons.</t>
  </si>
  <si>
    <t>KEY INSIGHTS</t>
  </si>
  <si>
    <t>2.  Cities can be grouped based on affordability and income dynamics</t>
  </si>
  <si>
    <t>3.  Lower cost does not necessarily mean higher affordability</t>
  </si>
  <si>
    <t>Although Bangkok and Jakarta have the lowest cost levels, their purchasing power is also low. As a result, they are not as financially attractive as they may appear from cost alone.</t>
  </si>
  <si>
    <t>5.  Kuala Lumpur offers the best cost-to-income balance</t>
  </si>
  <si>
    <t>With moderate costs and strong purchasing power, Kuala Lumpur is the most affordable city in the group and stands out as the most efficient option.</t>
  </si>
  <si>
    <t>6.  Spending patterns vary across cities</t>
  </si>
  <si>
    <t>IMPLICATIONS</t>
  </si>
  <si>
    <t>Compensation</t>
  </si>
  <si>
    <t>Housing should be considered separately when comparing cities, especially in high-rent locations like Singapore.</t>
  </si>
  <si>
    <t>Location Choice</t>
  </si>
  <si>
    <t>Kuala Lumpur appears to be the most cost-efficient option. Bangkok and Jakarta require more careful evaluation due to lower income levels.</t>
  </si>
  <si>
    <t>Overall Insight</t>
  </si>
  <si>
    <t>Affordability depends on both cost levels and income — not cost alone.</t>
  </si>
  <si>
    <t>KEY TAKEAWAY</t>
  </si>
  <si>
    <t>Kuala Lumpur clearly outperforms the group on affordability, while Tokyo and Seoul also perform better than average but to a lesser extent. Singapore, Bangkok, and Jakarta perform worse than average. This suggests clear differences in how cost and income interact across cities.</t>
  </si>
  <si>
    <t>While purchasing power is relatively strong, high rent significantly reduces overall affordability, making housing the main constraint in Singapore.</t>
  </si>
  <si>
    <t>The groceries–restaurant gap varies significantly across cities (e.g. highest in Seoul), indicating differences in consumption patterns that affect overall cost perception.</t>
  </si>
  <si>
    <t>Cost of Living Index</t>
  </si>
  <si>
    <t>Rent Index</t>
  </si>
  <si>
    <t>Cost of Living Plus Rent Index</t>
  </si>
  <si>
    <t>Groceries Index</t>
  </si>
  <si>
    <t>Restaurant Price Index</t>
  </si>
  <si>
    <t>Local Purchasing Power Index</t>
  </si>
  <si>
    <t>Zurich, Switzerland</t>
  </si>
  <si>
    <t>Geneva, Switzerland</t>
  </si>
  <si>
    <t>Basel, Switzerland</t>
  </si>
  <si>
    <t>Lugano, Switzerland</t>
  </si>
  <si>
    <t>Lausanne, Switzerland</t>
  </si>
  <si>
    <t>George Town, Cayman Islands</t>
  </si>
  <si>
    <t>Bern, Switzerland</t>
  </si>
  <si>
    <t>Honolulu, HI, United States</t>
  </si>
  <si>
    <t>New York, NY, United States</t>
  </si>
  <si>
    <t>Reykjavik, Iceland</t>
  </si>
  <si>
    <t>San Francisco, CA, United States</t>
  </si>
  <si>
    <t>Oslo, Norway</t>
  </si>
  <si>
    <t>Tel Aviv-Yafo, Israel</t>
  </si>
  <si>
    <t>Trondheim, Norway</t>
  </si>
  <si>
    <t>Bergen, Norway</t>
  </si>
  <si>
    <t>London, United Kingdom</t>
  </si>
  <si>
    <t>Stavanger, Norway</t>
  </si>
  <si>
    <t>Seattle, WA, United States</t>
  </si>
  <si>
    <t>San Jose, CA, United States</t>
  </si>
  <si>
    <t>Washington, DC, United States</t>
  </si>
  <si>
    <t>Singapore, Singapore</t>
  </si>
  <si>
    <t>Charleston, SC, United States</t>
  </si>
  <si>
    <t>Ramat Gan, Israel</t>
  </si>
  <si>
    <t>Boston, MA, United States</t>
  </si>
  <si>
    <t>Anchorage, AK, United States</t>
  </si>
  <si>
    <t>Jerusalem, Israel</t>
  </si>
  <si>
    <t>Copenhagen, Denmark</t>
  </si>
  <si>
    <t>Oakland, CA, United States</t>
  </si>
  <si>
    <t>Miami, FL, United States</t>
  </si>
  <si>
    <t>Los Angeles, CA, United States</t>
  </si>
  <si>
    <t>San Diego, CA, United States</t>
  </si>
  <si>
    <t>Haifa, Israel</t>
  </si>
  <si>
    <t>Amsterdam, Netherlands</t>
  </si>
  <si>
    <t>Arlington, VA, United States</t>
  </si>
  <si>
    <t>Sydney, Australia</t>
  </si>
  <si>
    <t>Stockholm, Sweden</t>
  </si>
  <si>
    <t>Aarhus, Denmark</t>
  </si>
  <si>
    <t>Irvine, CA, United States</t>
  </si>
  <si>
    <t>Luxembourg, Luxembourg</t>
  </si>
  <si>
    <t>Fort Lauderdale, FL, United States</t>
  </si>
  <si>
    <t>Aalborg, Denmark</t>
  </si>
  <si>
    <t>Sacramento, CA, United States</t>
  </si>
  <si>
    <t>Haarlem, Netherlands</t>
  </si>
  <si>
    <t>Philadelphia, PA, United States</t>
  </si>
  <si>
    <t>Paris, France</t>
  </si>
  <si>
    <t>Petah Tikva, Israel</t>
  </si>
  <si>
    <t>New Orleans, LA, United States</t>
  </si>
  <si>
    <t>Jersey City, NJ, United States</t>
  </si>
  <si>
    <t>Portland, OR, United States</t>
  </si>
  <si>
    <t>Guildford, United Kingdom</t>
  </si>
  <si>
    <t>Beersheba, Israel</t>
  </si>
  <si>
    <t>Canberra, Australia</t>
  </si>
  <si>
    <t>Utrecht, Netherlands</t>
  </si>
  <si>
    <t>Melbourne, Australia</t>
  </si>
  <si>
    <t>Salzburg, Austria</t>
  </si>
  <si>
    <t>Pisa, Italy</t>
  </si>
  <si>
    <t>Munich, Germany</t>
  </si>
  <si>
    <t>Reno, NV, United States</t>
  </si>
  <si>
    <t>Innsbruck, Austria</t>
  </si>
  <si>
    <t>Oxford, United Kingdom</t>
  </si>
  <si>
    <t>Chicago, IL, United States</t>
  </si>
  <si>
    <t>Albany, NY, United States</t>
  </si>
  <si>
    <t>Denver, CO, United States</t>
  </si>
  <si>
    <t>Nice, France</t>
  </si>
  <si>
    <t>Espoo, Finland</t>
  </si>
  <si>
    <t>Atlanta, GA, United States</t>
  </si>
  <si>
    <t>Milan, Italy</t>
  </si>
  <si>
    <t>Dublin, Ireland</t>
  </si>
  <si>
    <t>Dallas, TX, United States</t>
  </si>
  <si>
    <t>Rotterdam, Netherlands</t>
  </si>
  <si>
    <t>Brighton, United Kingdom</t>
  </si>
  <si>
    <t>Odense, Denmark</t>
  </si>
  <si>
    <t>Vienna, Austria</t>
  </si>
  <si>
    <t>Colorado Springs, CO, United States</t>
  </si>
  <si>
    <t>Delft, Netherlands</t>
  </si>
  <si>
    <t>Cambridge, United Kingdom</t>
  </si>
  <si>
    <t>Phoenix, AZ, United States</t>
  </si>
  <si>
    <t>Minneapolis, MN, United States</t>
  </si>
  <si>
    <t>The Hague (Den Haag), Netherlands</t>
  </si>
  <si>
    <t>Gold Coast, Australia</t>
  </si>
  <si>
    <t>Helsinki, Finland</t>
  </si>
  <si>
    <t>Hong Kong, Hong Kong (China)</t>
  </si>
  <si>
    <t>Frankfurt, Germany</t>
  </si>
  <si>
    <t>Buffalo, NY, United States</t>
  </si>
  <si>
    <t>Marseille, France</t>
  </si>
  <si>
    <t>Baltimore, MD, United States</t>
  </si>
  <si>
    <t>Syracuse, NY, United States</t>
  </si>
  <si>
    <t>Adelaide, Australia</t>
  </si>
  <si>
    <t>Saint Louis, MO, United States</t>
  </si>
  <si>
    <t>Wiesbaden, Germany</t>
  </si>
  <si>
    <t>Galway, Ireland</t>
  </si>
  <si>
    <t>Karlsruhe, Germany</t>
  </si>
  <si>
    <t>Dusseldorf, Germany</t>
  </si>
  <si>
    <t>Strasbourg, France</t>
  </si>
  <si>
    <t>Greenville, SC, United States</t>
  </si>
  <si>
    <t>Edinburgh, United Kingdom</t>
  </si>
  <si>
    <t>Perth, Australia</t>
  </si>
  <si>
    <t>Nashville, TN, United States</t>
  </si>
  <si>
    <t>Essen, Germany</t>
  </si>
  <si>
    <t>Lyon, France</t>
  </si>
  <si>
    <t>Gent, Belgium</t>
  </si>
  <si>
    <t>Darmstadt, Germany</t>
  </si>
  <si>
    <t>Graz, Austria</t>
  </si>
  <si>
    <t>Heidelberg, Germany</t>
  </si>
  <si>
    <t>Reading, United Kingdom</t>
  </si>
  <si>
    <t>Erfurt, Germany</t>
  </si>
  <si>
    <t>Southampton, United Kingdom</t>
  </si>
  <si>
    <t>Oklahoma City, OK, United States</t>
  </si>
  <si>
    <t>Cologne, Germany</t>
  </si>
  <si>
    <t>Antwerp, Belgium</t>
  </si>
  <si>
    <t>Fort Worth, TX, United States</t>
  </si>
  <si>
    <t>Spokane, WA, United States</t>
  </si>
  <si>
    <t>Orlando, FL, United States</t>
  </si>
  <si>
    <t>Mainz, Germany</t>
  </si>
  <si>
    <t>Regensburg, Germany</t>
  </si>
  <si>
    <t>Leiden, Netherlands</t>
  </si>
  <si>
    <t>Cork, Ireland</t>
  </si>
  <si>
    <t>Las Vegas, NV, United States</t>
  </si>
  <si>
    <t>Bristol, United Kingdom</t>
  </si>
  <si>
    <t>Hamburg, Germany</t>
  </si>
  <si>
    <t>Eindhoven, Netherlands</t>
  </si>
  <si>
    <t>Richmond, VA, United States</t>
  </si>
  <si>
    <t>San Juan, Puerto Rico</t>
  </si>
  <si>
    <t>Augsburg, Germany</t>
  </si>
  <si>
    <t>Stuttgart, Germany</t>
  </si>
  <si>
    <t>Aberdeen, United Kingdom</t>
  </si>
  <si>
    <t>Brussels, Belgium</t>
  </si>
  <si>
    <t>Columbus, OH, United States</t>
  </si>
  <si>
    <t>Tampa, FL, United States</t>
  </si>
  <si>
    <t>Brisbane, Australia</t>
  </si>
  <si>
    <t>Berlin, Germany</t>
  </si>
  <si>
    <t>Kiel, Germany</t>
  </si>
  <si>
    <t>Charlotte, NC, United States</t>
  </si>
  <si>
    <t>Groningen, Netherlands</t>
  </si>
  <si>
    <t>Malmo, Sweden</t>
  </si>
  <si>
    <t>Toulouse, France</t>
  </si>
  <si>
    <t>Birmingham, United Kingdom</t>
  </si>
  <si>
    <t>Nuremberg, Germany</t>
  </si>
  <si>
    <t>Uppsala, Sweden</t>
  </si>
  <si>
    <t>Indianapolis, IN, United States</t>
  </si>
  <si>
    <t>Madison, WI, United States</t>
  </si>
  <si>
    <t>Freiburg im Breisgau, Germany</t>
  </si>
  <si>
    <t>York, United Kingdom</t>
  </si>
  <si>
    <t>Bordeaux, France</t>
  </si>
  <si>
    <t>Bonn, Germany</t>
  </si>
  <si>
    <t>Ann Arbor, MI, United States</t>
  </si>
  <si>
    <t>Linz, Austria</t>
  </si>
  <si>
    <t>Turku, Finland</t>
  </si>
  <si>
    <t>Tampere, Finland</t>
  </si>
  <si>
    <t>Dresden, Germany</t>
  </si>
  <si>
    <t>Florence, Italy</t>
  </si>
  <si>
    <t>Bremen, Germany</t>
  </si>
  <si>
    <t>Brescia, Italy</t>
  </si>
  <si>
    <t>Victoria, Canada</t>
  </si>
  <si>
    <t>Birmingham, AL, United States</t>
  </si>
  <si>
    <t>Limerick, Ireland</t>
  </si>
  <si>
    <t>Pittsburgh, PA, United States</t>
  </si>
  <si>
    <t>Manchester, United Kingdom</t>
  </si>
  <si>
    <t>Vancouver, Canada</t>
  </si>
  <si>
    <t>Austin, TX, United States</t>
  </si>
  <si>
    <t>Glasgow, United Kingdom</t>
  </si>
  <si>
    <t>Bologna, Italy</t>
  </si>
  <si>
    <t>Belfast, United Kingdom</t>
  </si>
  <si>
    <t>Hanover, Germany</t>
  </si>
  <si>
    <t>Milton Keynes, United Kingdom</t>
  </si>
  <si>
    <t>Boise, ID, United States</t>
  </si>
  <si>
    <t>Raleigh, NC, United States</t>
  </si>
  <si>
    <t>Bournemouth, United Kingdom</t>
  </si>
  <si>
    <t>Gainesville, FL, United States</t>
  </si>
  <si>
    <t>Newcastle upon Tyne, United Kingdom</t>
  </si>
  <si>
    <t>Toronto, Canada</t>
  </si>
  <si>
    <t>Seoul, South Korea</t>
  </si>
  <si>
    <t>Vancouver, WA, United States</t>
  </si>
  <si>
    <t>Milwaukee, WI, United States</t>
  </si>
  <si>
    <t>Mannheim, Germany</t>
  </si>
  <si>
    <t>Leeds, United Kingdom</t>
  </si>
  <si>
    <t>Surrey, Canada</t>
  </si>
  <si>
    <t>Leipzig, Germany</t>
  </si>
  <si>
    <t>Gothenburg, Sweden</t>
  </si>
  <si>
    <t>Kansas City, MO, United States</t>
  </si>
  <si>
    <t>Oulu, Finland</t>
  </si>
  <si>
    <t>Cardiff, United Kingdom</t>
  </si>
  <si>
    <t>Verona, Italy</t>
  </si>
  <si>
    <t>Liverpool, United Kingdom</t>
  </si>
  <si>
    <t>Dundee, United Kingdom</t>
  </si>
  <si>
    <t>Treviso, Italy</t>
  </si>
  <si>
    <t>Lethbridge, AB, Canada</t>
  </si>
  <si>
    <t>Salt Lake City, UT, United States</t>
  </si>
  <si>
    <t>Nottingham, United Kingdom</t>
  </si>
  <si>
    <t>Aachen, Germany</t>
  </si>
  <si>
    <t>Omaha, NE, United States</t>
  </si>
  <si>
    <t>Grenoble, France</t>
  </si>
  <si>
    <t>Wichita, KS, United States</t>
  </si>
  <si>
    <t>Erlangen, Germany</t>
  </si>
  <si>
    <t>Kassel, Germany</t>
  </si>
  <si>
    <t>Rochester, NY, United States</t>
  </si>
  <si>
    <t>Kitchener, Canada</t>
  </si>
  <si>
    <t>Chemnitz, Germany</t>
  </si>
  <si>
    <t>Lille, France</t>
  </si>
  <si>
    <t>Jacksonville, FL, United States</t>
  </si>
  <si>
    <t>Houston, TX, United States</t>
  </si>
  <si>
    <t>Knoxville, TN, United States</t>
  </si>
  <si>
    <t>Montpellier, France</t>
  </si>
  <si>
    <t>Tucson, AZ, United States</t>
  </si>
  <si>
    <t>Lund, Sweden</t>
  </si>
  <si>
    <t>Coventry, United Kingdom</t>
  </si>
  <si>
    <t>Sliema, Malta</t>
  </si>
  <si>
    <t>Auckland, New Zealand</t>
  </si>
  <si>
    <t>Braunschweig, Germany</t>
  </si>
  <si>
    <t>San Antonio, TX, United States</t>
  </si>
  <si>
    <t>Bolzano-Bozen, Italy</t>
  </si>
  <si>
    <t>Tulsa, OK, United States</t>
  </si>
  <si>
    <t>Cleveland, OH, United States</t>
  </si>
  <si>
    <t>Leuven, Belgium</t>
  </si>
  <si>
    <t>St. John's, Newfoundland and Labrador, Canada</t>
  </si>
  <si>
    <t>Wellington, New Zealand</t>
  </si>
  <si>
    <t>Trento, Italy</t>
  </si>
  <si>
    <t>Sheffield, United Kingdom</t>
  </si>
  <si>
    <t>Tallinn, Estonia</t>
  </si>
  <si>
    <t>Padova, Italy</t>
  </si>
  <si>
    <t>Calgary, Canada</t>
  </si>
  <si>
    <t>Kelowna, Canada</t>
  </si>
  <si>
    <t>Cagliari, Italy</t>
  </si>
  <si>
    <t>Albuquerque, NM, United States</t>
  </si>
  <si>
    <t>Cincinnati, OH, United States</t>
  </si>
  <si>
    <t>Mississauga, Canada</t>
  </si>
  <si>
    <t>Saskatoon, Canada</t>
  </si>
  <si>
    <t>Edmonton, Canada</t>
  </si>
  <si>
    <t>Halifax, Canada</t>
  </si>
  <si>
    <t>Guelph, Canada</t>
  </si>
  <si>
    <t>Nanaimo, BC, Canada</t>
  </si>
  <si>
    <t>Ottawa, Canada</t>
  </si>
  <si>
    <t>Limassol, Cyprus</t>
  </si>
  <si>
    <t>Valletta, Malta</t>
  </si>
  <si>
    <t>Villach, Austria</t>
  </si>
  <si>
    <t>Regina, Canada</t>
  </si>
  <si>
    <t>London, Canada</t>
  </si>
  <si>
    <t>Louisville, KY, United States</t>
  </si>
  <si>
    <t>Columbia, SC, United States</t>
  </si>
  <si>
    <t>Genoa, Italy</t>
  </si>
  <si>
    <t>Dubai, United Arab Emirates</t>
  </si>
  <si>
    <t>Trieste, Italy</t>
  </si>
  <si>
    <t>Rome, Italy</t>
  </si>
  <si>
    <t>Christchurch, New Zealand</t>
  </si>
  <si>
    <t>Brampton, Canada</t>
  </si>
  <si>
    <t>Montreal, Canada</t>
  </si>
  <si>
    <t>Turin, Italy</t>
  </si>
  <si>
    <t>Huntsville, AL, United States</t>
  </si>
  <si>
    <t>Naples, Italy</t>
  </si>
  <si>
    <t>Winnipeg, Canada</t>
  </si>
  <si>
    <t>Quebec City, Canada</t>
  </si>
  <si>
    <t>Madrid, Spain</t>
  </si>
  <si>
    <t>Rimini, Italy</t>
  </si>
  <si>
    <t>Hamilton, Canada</t>
  </si>
  <si>
    <t>Moncton, Canada</t>
  </si>
  <si>
    <t>Barcelona, Spain</t>
  </si>
  <si>
    <t>Remagen, Germany</t>
  </si>
  <si>
    <t>Reggio Nell'emilia, Italy</t>
  </si>
  <si>
    <t>Palma de Mallorca, Spain</t>
  </si>
  <si>
    <t>Bergamo, Italy</t>
  </si>
  <si>
    <t>Prague, Czech Republic</t>
  </si>
  <si>
    <t>Windsor, Canada</t>
  </si>
  <si>
    <t>Ljubljana, Slovenia</t>
  </si>
  <si>
    <t>Split, Croatia</t>
  </si>
  <si>
    <t>Nicosia, Cyprus</t>
  </si>
  <si>
    <t>Tartu, Estonia</t>
  </si>
  <si>
    <t>Montevideo, Uruguay</t>
  </si>
  <si>
    <t>Athens, Greece</t>
  </si>
  <si>
    <t>Bari, Italy</t>
  </si>
  <si>
    <t>San Jose, Costa Rica</t>
  </si>
  <si>
    <t>Paphos, Cyprus</t>
  </si>
  <si>
    <t>Kingston, Canada</t>
  </si>
  <si>
    <t>Bratislava, Slovakia</t>
  </si>
  <si>
    <t>Heraklion, Greece</t>
  </si>
  <si>
    <t>Palermo, Italy</t>
  </si>
  <si>
    <t>Tokyo, Japan</t>
  </si>
  <si>
    <t>Bilbao, Spain</t>
  </si>
  <si>
    <t>Thessaloniki, Greece</t>
  </si>
  <si>
    <t>Oviedo, Spain</t>
  </si>
  <si>
    <t>Ras al-Khaimah, United Arab Emirates</t>
  </si>
  <si>
    <t>Taipei, Taiwan</t>
  </si>
  <si>
    <t>Riga, Latvia</t>
  </si>
  <si>
    <t>Lisbon, Portugal</t>
  </si>
  <si>
    <t>Larnaca, Cyprus</t>
  </si>
  <si>
    <t>Doha, Qatar</t>
  </si>
  <si>
    <t>Zagreb, Croatia</t>
  </si>
  <si>
    <t>Rijeka, Croatia</t>
  </si>
  <si>
    <t>Abu Dhabi, United Arab Emirates</t>
  </si>
  <si>
    <t>Catania, Italy</t>
  </si>
  <si>
    <t>New Taipei City, Taiwan</t>
  </si>
  <si>
    <t>Brno, Czech Republic</t>
  </si>
  <si>
    <t>Warsaw, Poland</t>
  </si>
  <si>
    <t>Vilnius, Lithuania</t>
  </si>
  <si>
    <t>Kaunas, Lithuania</t>
  </si>
  <si>
    <t>Alicante, Spain</t>
  </si>
  <si>
    <t>Valencia, Spain</t>
  </si>
  <si>
    <t>Kosice, Slovakia</t>
  </si>
  <si>
    <t>Malaga, Spain</t>
  </si>
  <si>
    <t>Sharjah, United Arab Emirates</t>
  </si>
  <si>
    <t>Beirut, Lebanon</t>
  </si>
  <si>
    <t>Plzen, Czech Republic</t>
  </si>
  <si>
    <t>Monterrey, Mexico</t>
  </si>
  <si>
    <t>Budapest, Hungary</t>
  </si>
  <si>
    <t>Buenos Aires, Argentina</t>
  </si>
  <si>
    <t>Las Palmas de Gran Canaria, Spain</t>
  </si>
  <si>
    <t>Wroclaw, Poland</t>
  </si>
  <si>
    <t>Porto, Portugal</t>
  </si>
  <si>
    <t>Tirana, Albania</t>
  </si>
  <si>
    <t>Krakow (Cracow), Poland</t>
  </si>
  <si>
    <t>Ostrava, Czech Republic</t>
  </si>
  <si>
    <t>Granada, Spain</t>
  </si>
  <si>
    <t>Gdansk, Poland</t>
  </si>
  <si>
    <t>Gdynia, Poland</t>
  </si>
  <si>
    <t>Al Khobar, Saudi Arabia</t>
  </si>
  <si>
    <t>Seville (Sevilla), Spain</t>
  </si>
  <si>
    <t>Budva, Montenegro</t>
  </si>
  <si>
    <t>Riyadh, Saudi Arabia</t>
  </si>
  <si>
    <t>Panama City, Panama</t>
  </si>
  <si>
    <t>Funchal, Portugal</t>
  </si>
  <si>
    <t>Belgrade, Serbia</t>
  </si>
  <si>
    <t>Olomouc, Czech Republic</t>
  </si>
  <si>
    <t>Sofia, Bulgaria</t>
  </si>
  <si>
    <t>Pecs, Hungary</t>
  </si>
  <si>
    <t>Lodz, Poland</t>
  </si>
  <si>
    <t>Braga, Portugal</t>
  </si>
  <si>
    <t>Taichung, Taiwan</t>
  </si>
  <si>
    <t>Coimbra, Portugal</t>
  </si>
  <si>
    <t>Mexico City, Mexico</t>
  </si>
  <si>
    <t>Cluj-Napoca, Romania</t>
  </si>
  <si>
    <t>Poznan, Poland</t>
  </si>
  <si>
    <t>Cordoba, Argentina</t>
  </si>
  <si>
    <t>Torrevieja, Spain</t>
  </si>
  <si>
    <t>Caracas, Venezuela</t>
  </si>
  <si>
    <t>Moscow, Russia</t>
  </si>
  <si>
    <t>Varna, Bulgaria</t>
  </si>
  <si>
    <t>Kuwait City, Kuwait</t>
  </si>
  <si>
    <t>Bucharest, Romania</t>
  </si>
  <si>
    <t>Queretaro (Santiago de Querétaro), Mexico</t>
  </si>
  <si>
    <t>Muscat, Oman</t>
  </si>
  <si>
    <t>Istanbul, Turkey</t>
  </si>
  <si>
    <t>Novi Sad, Serbia</t>
  </si>
  <si>
    <t>Manama, Bahrain</t>
  </si>
  <si>
    <t>Abidjan, Ivory Coast</t>
  </si>
  <si>
    <t>Debrecen, Hungary</t>
  </si>
  <si>
    <t>Szczecin, Poland</t>
  </si>
  <si>
    <t>Kaohsiung, Taiwan</t>
  </si>
  <si>
    <t>Ajman, United Arab Emirates</t>
  </si>
  <si>
    <t>Szeged, Hungary</t>
  </si>
  <si>
    <t>Jeddah (Jiddah), Saudi Arabia</t>
  </si>
  <si>
    <t>Brasov, Romania</t>
  </si>
  <si>
    <t>Katowice, Poland</t>
  </si>
  <si>
    <t>Osaka, Japan</t>
  </si>
  <si>
    <t>Ad Dammam, Saudi Arabia</t>
  </si>
  <si>
    <t>Constanta, Romania</t>
  </si>
  <si>
    <t>Amman, Jordan</t>
  </si>
  <si>
    <t>Sarajevo, Bosnia And Herzegovina</t>
  </si>
  <si>
    <t>Santiago, Chile</t>
  </si>
  <si>
    <t>Podgorica, Montenegro</t>
  </si>
  <si>
    <t>Guadalajara, Mexico</t>
  </si>
  <si>
    <t>Merida, Mexico</t>
  </si>
  <si>
    <t>San Salvador, El Salvador</t>
  </si>
  <si>
    <t>Phuket, Thailand</t>
  </si>
  <si>
    <t>Yerevan, Armenia</t>
  </si>
  <si>
    <t>Izmir, Turkey</t>
  </si>
  <si>
    <t>Vlore, Albania</t>
  </si>
  <si>
    <t>Santo Domingo, Dominican Republic</t>
  </si>
  <si>
    <t>Pretoria, South Africa</t>
  </si>
  <si>
    <t>Addis Ababa, Ethiopia</t>
  </si>
  <si>
    <t>Bangkok, Thailand</t>
  </si>
  <si>
    <t>Timisoara, Romania</t>
  </si>
  <si>
    <t>Makati, Philippines</t>
  </si>
  <si>
    <t>Vladivostok, Russia</t>
  </si>
  <si>
    <t>Iasi, Romania</t>
  </si>
  <si>
    <t>Cape Town, South Africa</t>
  </si>
  <si>
    <t>Plovdiv, Bulgaria</t>
  </si>
  <si>
    <t>Burgas, Bulgaria</t>
  </si>
  <si>
    <t>Johannesburg, South Africa</t>
  </si>
  <si>
    <t>Ankara, Turkey</t>
  </si>
  <si>
    <t>Sao Paulo, Brazil</t>
  </si>
  <si>
    <t>Aguascalientes, Mexico</t>
  </si>
  <si>
    <t>Bursa, Turkey</t>
  </si>
  <si>
    <t>Kuala Lumpur, Malaysia</t>
  </si>
  <si>
    <t>Antalya, Turkey</t>
  </si>
  <si>
    <t>Craiova, Romania</t>
  </si>
  <si>
    <t>Shanghai, China</t>
  </si>
  <si>
    <t>Galati, Romania</t>
  </si>
  <si>
    <t>Harare, Zimbabwe</t>
  </si>
  <si>
    <t>Phnom Penh, Cambodia</t>
  </si>
  <si>
    <t>Windhoek, Namibia</t>
  </si>
  <si>
    <t>Sibiu, Romania</t>
  </si>
  <si>
    <t>Targu Mures, Romania</t>
  </si>
  <si>
    <t>Skopje, North Macedonia</t>
  </si>
  <si>
    <t>Oradea, Romania</t>
  </si>
  <si>
    <t>Mersin, Turkey</t>
  </si>
  <si>
    <t>Beijing, China</t>
  </si>
  <si>
    <t>Shenzhen, China</t>
  </si>
  <si>
    <t>Almaty, Kazakhstan</t>
  </si>
  <si>
    <t>Nis, Serbia</t>
  </si>
  <si>
    <t>Saint Petersburg, Russia</t>
  </si>
  <si>
    <t>Pattaya, Thailand</t>
  </si>
  <si>
    <t>Tbilisi, Georgia</t>
  </si>
  <si>
    <t>Chisinau, Moldova</t>
  </si>
  <si>
    <t>Tyumen, Russia</t>
  </si>
  <si>
    <t>Medellin, Colombia</t>
  </si>
  <si>
    <t>Yekaterinburg, Russia</t>
  </si>
  <si>
    <t>Eskisehir, Turkey</t>
  </si>
  <si>
    <t>Suzhou, China</t>
  </si>
  <si>
    <t>Guayaquil, Ecuador</t>
  </si>
  <si>
    <t>Accra, Ghana</t>
  </si>
  <si>
    <t>Kuching, Malaysia</t>
  </si>
  <si>
    <t>Bali, Indonesia</t>
  </si>
  <si>
    <t>Guangzhou, China</t>
  </si>
  <si>
    <t>Florianopolis, Brazil</t>
  </si>
  <si>
    <t>Campinas, Brazil</t>
  </si>
  <si>
    <t>Tangier, Morocco</t>
  </si>
  <si>
    <t>Brasilia, Brazil</t>
  </si>
  <si>
    <t>Hangzhou, China</t>
  </si>
  <si>
    <t>Rio de Janeiro, Brazil</t>
  </si>
  <si>
    <t>Kaliningrad, Russia</t>
  </si>
  <si>
    <t>Barranquilla, Colombia</t>
  </si>
  <si>
    <t>Erbil (Irbil), Iraq</t>
  </si>
  <si>
    <t>Lima, Peru</t>
  </si>
  <si>
    <t>Joao Pessoa, Brazil</t>
  </si>
  <si>
    <t>Durban, South Africa</t>
  </si>
  <si>
    <t>Bogota, Colombia</t>
  </si>
  <si>
    <t>Ulaanbaatar, Mongolia</t>
  </si>
  <si>
    <t>Colombo, Sri Lanka</t>
  </si>
  <si>
    <t>Manila, Philippines</t>
  </si>
  <si>
    <t>Baghdad, Iraq</t>
  </si>
  <si>
    <t>Hua Hin, Thailand</t>
  </si>
  <si>
    <t>Fortaleza, Brazil</t>
  </si>
  <si>
    <t>Casablanca, Morocco</t>
  </si>
  <si>
    <t>Penang, Malaysia</t>
  </si>
  <si>
    <t>Quito, Ecuador</t>
  </si>
  <si>
    <t>Porto Alegre, Brazil</t>
  </si>
  <si>
    <t>Krasnoyarsk, Russia</t>
  </si>
  <si>
    <t>Kazan, Russia</t>
  </si>
  <si>
    <t>Ufa, Russia</t>
  </si>
  <si>
    <t>Damascus, Syria</t>
  </si>
  <si>
    <t>Chiang Mai, Thailand</t>
  </si>
  <si>
    <t>Krasnodar, Russia</t>
  </si>
  <si>
    <t>Stara Zagora, Bulgaria</t>
  </si>
  <si>
    <t>Baku, Azerbaijan</t>
  </si>
  <si>
    <t>Rabat, Morocco</t>
  </si>
  <si>
    <t>Belo Horizonte, Brazil</t>
  </si>
  <si>
    <t>Nizhny Novgorod, Russia</t>
  </si>
  <si>
    <t>Novosibirsk, Russia</t>
  </si>
  <si>
    <t>Voronezh, Russia</t>
  </si>
  <si>
    <t>Salvador, Brazil</t>
  </si>
  <si>
    <t>Curitiba, Brazil</t>
  </si>
  <si>
    <t>Chelyabinsk, Russia</t>
  </si>
  <si>
    <t>Cebu, Philippines</t>
  </si>
  <si>
    <t>Tomsk, Russia</t>
  </si>
  <si>
    <t>Samara, Russia</t>
  </si>
  <si>
    <t>Rostov-on-Don (Rostov-na-donu), Russia</t>
  </si>
  <si>
    <t>Quezon City, Philippines</t>
  </si>
  <si>
    <t>Agadir, Morocco</t>
  </si>
  <si>
    <t>Kiev (Kyiv), Ukraine</t>
  </si>
  <si>
    <t>Sousse, Tunisia</t>
  </si>
  <si>
    <t>Lagos, Nigeria</t>
  </si>
  <si>
    <t>Changsha, China</t>
  </si>
  <si>
    <t>Cali, Colombia</t>
  </si>
  <si>
    <t>Marrakech, Morocco</t>
  </si>
  <si>
    <t>Santa Cruz, Bolivia</t>
  </si>
  <si>
    <t>Astana (Nur-Sultan), Kazakhstan</t>
  </si>
  <si>
    <t>Nairobi, Kenya</t>
  </si>
  <si>
    <t>Minsk, Belarus</t>
  </si>
  <si>
    <t>Davao, Philippines</t>
  </si>
  <si>
    <t>Tunis, Tunisia</t>
  </si>
  <si>
    <t>Asuncion, Paraguay</t>
  </si>
  <si>
    <t>Perm, Russia</t>
  </si>
  <si>
    <t>Batumi, Ajara, Georgia</t>
  </si>
  <si>
    <t>Nanjing, China</t>
  </si>
  <si>
    <t>Recife, Brazil</t>
  </si>
  <si>
    <t>Dnipro, Ukraine</t>
  </si>
  <si>
    <t>Wuhan, China</t>
  </si>
  <si>
    <t>Cuenca, Ecuador</t>
  </si>
  <si>
    <t>Lviv, Ukraine</t>
  </si>
  <si>
    <t>Jakarta, Indonesia</t>
  </si>
  <si>
    <t>Qingdao, Shandong, China</t>
  </si>
  <si>
    <t>Tashkent, Uzbekistan</t>
  </si>
  <si>
    <t>Pristina, Kosovo (Disputed Territory)</t>
  </si>
  <si>
    <t>Bishkek, Kyrgyzstan</t>
  </si>
  <si>
    <t>Odessa (Odesa), Ukraine</t>
  </si>
  <si>
    <t>Hanoi, Vietnam</t>
  </si>
  <si>
    <t>Ho Chi Minh City, Vietnam</t>
  </si>
  <si>
    <t>Algiers, Algeria</t>
  </si>
  <si>
    <t>Chengdu, China</t>
  </si>
  <si>
    <t>Dushanbe, Tajikistan</t>
  </si>
  <si>
    <t>Chongqing, China</t>
  </si>
  <si>
    <t>Dar es Salaam, Tanzania</t>
  </si>
  <si>
    <t>Surabaya, Indonesia</t>
  </si>
  <si>
    <t>Kigali, Rwanda</t>
  </si>
  <si>
    <t>Xi'an, China</t>
  </si>
  <si>
    <t>Da Nang, Vietnam</t>
  </si>
  <si>
    <t>Kampala, Uganda</t>
  </si>
  <si>
    <t>Kharkiv, Ukraine</t>
  </si>
  <si>
    <t>Mumbai, India</t>
  </si>
  <si>
    <t>Dhaka, Bangladesh</t>
  </si>
  <si>
    <t>Bandung, Indonesia</t>
  </si>
  <si>
    <t>Gurgaon, India</t>
  </si>
  <si>
    <t>Islamabad, Pakistan</t>
  </si>
  <si>
    <t>Chittagong, Bangladesh</t>
  </si>
  <si>
    <t>Kathmandu, Nepal</t>
  </si>
  <si>
    <t>Tehran, Iran</t>
  </si>
  <si>
    <t>Delhi, India</t>
  </si>
  <si>
    <t>Pune, India</t>
  </si>
  <si>
    <t>Cairo, Egypt</t>
  </si>
  <si>
    <t>Karachi, Pakistan</t>
  </si>
  <si>
    <t>Bangalore, India</t>
  </si>
  <si>
    <t>Hyderabad, India</t>
  </si>
  <si>
    <t>Noida, India</t>
  </si>
  <si>
    <t>Rawalpindi, Pakistan</t>
  </si>
  <si>
    <t>Ahmedabad, India</t>
  </si>
  <si>
    <t>Lahore, Pakistan</t>
  </si>
  <si>
    <t>Navi Mumbai, India</t>
  </si>
  <si>
    <t>Thane, India</t>
  </si>
  <si>
    <t>Chennai, India</t>
  </si>
  <si>
    <t>Chandigarh, India</t>
  </si>
  <si>
    <t>Vadodara, India</t>
  </si>
  <si>
    <t>Alexandria, Egypt</t>
  </si>
  <si>
    <t>Kolkata, India</t>
  </si>
  <si>
    <t>Giza, Egypt</t>
  </si>
  <si>
    <t>Patna, India</t>
  </si>
  <si>
    <t>Bhubaneswar, India</t>
  </si>
  <si>
    <t>Kochi, India</t>
  </si>
  <si>
    <t>Jaipur, India</t>
  </si>
  <si>
    <t>Bhopal, India</t>
  </si>
  <si>
    <t>Surat, India</t>
  </si>
  <si>
    <t>Indore, India</t>
  </si>
  <si>
    <t>Guwahati, India</t>
  </si>
  <si>
    <t>Lucknow (Lakhnau), India</t>
  </si>
  <si>
    <t>Rajkot, India</t>
  </si>
  <si>
    <t>Coimbatore, India</t>
  </si>
  <si>
    <t>Cost Rank (by Cost + Rent Index)</t>
  </si>
  <si>
    <t>Affordability Rank</t>
  </si>
  <si>
    <t>Cities ranked by affordability (cost adjusted for purchasing power)</t>
  </si>
  <si>
    <t>All indices are relative measures based on Numbeo data (New York = 100 baseline).</t>
  </si>
  <si>
    <t>Restaurant Index</t>
  </si>
  <si>
    <t>Cost + Rent Index</t>
  </si>
  <si>
    <t>Housing Cost Pressure</t>
  </si>
  <si>
    <t>Affordability is calculated as:</t>
  </si>
  <si>
    <t>This metric reflects the balance between total living costs (including housing) and income levels, allowing for cross-city comparison.</t>
  </si>
  <si>
    <t>Measures the relative price level of goods and services in each city.</t>
  </si>
  <si>
    <t>Represents the relative cost of housing.</t>
  </si>
  <si>
    <t>Indicates the relative ability of residents to afford goods and services based on income levels.</t>
  </si>
  <si>
    <t>A composite measure capturing the relationship between total costs and purchasing power.</t>
  </si>
  <si>
    <t>Affordability is driven by the interaction between cost, housing, and income</t>
  </si>
  <si>
    <t>Housing costs are a key source of affordability pressure</t>
  </si>
  <si>
    <t>Lower cost does not necessarily imply higher affordability</t>
  </si>
  <si>
    <t>Higher purchasing power can offset higher living costs</t>
  </si>
  <si>
    <t>Cost of Living &amp; Affordability Analysis — Asian Cities</t>
  </si>
  <si>
    <t>PROJECT OVERVIEW</t>
  </si>
  <si>
    <t>This project analyses cost of living, housing costs, and purchasing power across six major Asian cities: Singapore, Tokyo, Seoul, Bangkok, Jakarta, and Kuala Lumpur. The objective is to evaluate how affordability differs across cities by examining the interaction between cost structures and income levels.</t>
  </si>
  <si>
    <t>METHODOLOGY</t>
  </si>
  <si>
    <t>KEY METRICS</t>
  </si>
  <si>
    <t>IMPORTANT NOTE</t>
  </si>
  <si>
    <t>Housing Costs</t>
  </si>
  <si>
    <t>Housing costs (rent) are analysed as a proportion of the overall cost structure, not as a share of income. This means the analysis focuses on how dominant housing costs are within total living expenses, rather than direct rent-to-income ratios.</t>
  </si>
  <si>
    <t>ANALYTICAL FOCUS</t>
  </si>
  <si>
    <t>Affordability is not just about low costs — it reflects the balance between what you pay and what you earn. Housing is the critical variable.</t>
  </si>
  <si>
    <t>Housing Costs Pressure</t>
  </si>
  <si>
    <t>Housing cost pressure is calculated as Rent Index divided by Cost of Living Index.</t>
  </si>
  <si>
    <t>Affordability vs Average</t>
  </si>
  <si>
    <t>1.  Housing costs are the largest source of variation in total cost across cities.</t>
  </si>
  <si>
    <t xml:space="preserve">Housing costs account for a significant share of total cost differences across cities. Singapore's high cost level is largely driven by housing, while food and restaurant prices are relatively more stable. </t>
  </si>
  <si>
    <t>4.  Singapore combines very high living costs with only moderately higher purchasing power, resulting in the lowest affordability.</t>
  </si>
  <si>
    <t>Lower cost does not guarantee higher affordability — purchasing power and housing costs are critical factors.</t>
  </si>
  <si>
    <t>Affordability = Cost of Living Plus Rent Index / Local Purchasing Power Index</t>
  </si>
  <si>
    <t>Shows each city's affordability as a ratio to the group average. A value below 1.0 indicates better-than-average affordability.</t>
  </si>
  <si>
    <t>Represents the combined cost of living and housing expenses, based on Numbeo’s pre-calculated index.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</si>
</sst>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9" x14ac:knownFonts="1">
    <font>
      <sz val="12"/>
      <color theme="1"/>
      <name val="Aptos Narrow"/>
      <family val="2"/>
      <scheme val="minor"/>
    </font>
    <font>
      <b/>
      <sz val="10"/>
      <color rgb="FFFFFFFF"/>
      <name val="Calibri"/>
      <family val="2"/>
    </font>
    <font>
      <sz val="10"/>
      <color theme="1"/>
      <name val="Calibri"/>
      <family val="2"/>
    </font>
    <font>
      <b/>
      <sz val="18"/>
      <color rgb="FF1F4E79"/>
      <name val="Calibri"/>
      <family val="2"/>
    </font>
    <font>
      <i/>
      <sz val="11"/>
      <color rgb="FF4472C4"/>
      <name val="Calibri"/>
      <family val="2"/>
    </font>
    <font>
      <b/>
      <sz val="11"/>
      <color rgb="FF1F4E79"/>
      <name val="Calibri"/>
      <family val="2"/>
    </font>
    <font>
      <b/>
      <sz val="10"/>
      <color theme="1"/>
      <name val="Calibri"/>
      <family val="2"/>
    </font>
    <font>
      <b/>
      <sz val="11"/>
      <color rgb="FFFFFFFF"/>
      <name val="Calibri"/>
      <family val="2"/>
    </font>
    <font>
      <sz val="16"/>
      <color rgb="FF000000"/>
      <name val="Arial"/>
      <family val="2"/>
    </font>
    <font>
      <u/>
      <sz val="12"/>
      <color theme="10"/>
      <name val="Aptos Narrow"/>
      <family val="2"/>
      <scheme val="minor"/>
    </font>
    <font>
      <b/>
      <sz val="13"/>
      <color theme="0"/>
      <name val="Arial"/>
      <family val="2"/>
    </font>
    <font>
      <b/>
      <sz val="15"/>
      <color theme="0"/>
      <name val="Arial"/>
      <family val="2"/>
    </font>
    <font>
      <b/>
      <sz val="14"/>
      <color theme="0"/>
      <name val="Arial"/>
      <family val="2"/>
    </font>
    <font>
      <sz val="8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12"/>
      <color theme="0"/>
      <name val="Aptos Narrow"/>
      <scheme val="minor"/>
    </font>
    <font>
      <b/>
      <sz val="12"/>
      <color theme="0"/>
      <name val="Aptos Narrow (Body)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8CBAD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rgb="FFB4B4B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51">
    <xf numFmtId="0" fontId="0" fillId="0" borderId="0" xfId="0"/>
    <xf numFmtId="0" fontId="3" fillId="0" borderId="0" xfId="0" applyFont="1"/>
    <xf numFmtId="0" fontId="4" fillId="0" borderId="0" xfId="0" applyFont="1"/>
    <xf numFmtId="0" fontId="2" fillId="0" borderId="0" xfId="0" applyFont="1" applyAlignment="1">
      <alignment wrapText="1"/>
    </xf>
    <xf numFmtId="0" fontId="6" fillId="0" borderId="0" xfId="0" applyFont="1" applyAlignment="1">
      <alignment wrapText="1"/>
    </xf>
    <xf numFmtId="0" fontId="6" fillId="3" borderId="0" xfId="0" applyFont="1" applyFill="1" applyAlignment="1">
      <alignment wrapText="1"/>
    </xf>
    <xf numFmtId="0" fontId="2" fillId="0" borderId="1" xfId="0" applyFont="1" applyBorder="1" applyAlignment="1">
      <alignment wrapText="1"/>
    </xf>
    <xf numFmtId="0" fontId="9" fillId="0" borderId="0" xfId="1"/>
    <xf numFmtId="164" fontId="8" fillId="0" borderId="0" xfId="0" applyNumberFormat="1" applyFont="1"/>
    <xf numFmtId="1" fontId="8" fillId="0" borderId="0" xfId="0" applyNumberFormat="1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2" fillId="3" borderId="4" xfId="0" applyFont="1" applyFill="1" applyBorder="1"/>
    <xf numFmtId="2" fontId="2" fillId="3" borderId="4" xfId="0" applyNumberFormat="1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1" fontId="2" fillId="3" borderId="4" xfId="0" applyNumberFormat="1" applyFont="1" applyFill="1" applyBorder="1" applyAlignment="1">
      <alignment horizontal="center"/>
    </xf>
    <xf numFmtId="1" fontId="2" fillId="3" borderId="6" xfId="0" applyNumberFormat="1" applyFont="1" applyFill="1" applyBorder="1" applyAlignment="1">
      <alignment horizontal="center"/>
    </xf>
    <xf numFmtId="0" fontId="2" fillId="6" borderId="5" xfId="0" applyFont="1" applyFill="1" applyBorder="1"/>
    <xf numFmtId="0" fontId="2" fillId="4" borderId="4" xfId="0" applyFont="1" applyFill="1" applyBorder="1"/>
    <xf numFmtId="2" fontId="2" fillId="4" borderId="4" xfId="0" applyNumberFormat="1" applyFont="1" applyFill="1" applyBorder="1" applyAlignment="1">
      <alignment horizontal="center"/>
    </xf>
    <xf numFmtId="0" fontId="2" fillId="6" borderId="4" xfId="0" applyFont="1" applyFill="1" applyBorder="1" applyAlignment="1">
      <alignment horizontal="center"/>
    </xf>
    <xf numFmtId="1" fontId="2" fillId="4" borderId="4" xfId="0" applyNumberFormat="1" applyFont="1" applyFill="1" applyBorder="1" applyAlignment="1">
      <alignment horizontal="center"/>
    </xf>
    <xf numFmtId="1" fontId="2" fillId="4" borderId="6" xfId="0" applyNumberFormat="1" applyFont="1" applyFill="1" applyBorder="1" applyAlignment="1">
      <alignment horizontal="center"/>
    </xf>
    <xf numFmtId="0" fontId="2" fillId="8" borderId="5" xfId="0" applyFont="1" applyFill="1" applyBorder="1"/>
    <xf numFmtId="0" fontId="2" fillId="9" borderId="5" xfId="0" applyFont="1" applyFill="1" applyBorder="1"/>
    <xf numFmtId="0" fontId="2" fillId="5" borderId="7" xfId="0" applyFont="1" applyFill="1" applyBorder="1" applyAlignment="1">
      <alignment horizontal="center"/>
    </xf>
    <xf numFmtId="0" fontId="2" fillId="10" borderId="5" xfId="0" applyFont="1" applyFill="1" applyBorder="1"/>
    <xf numFmtId="0" fontId="2" fillId="7" borderId="3" xfId="0" applyFont="1" applyFill="1" applyBorder="1"/>
    <xf numFmtId="0" fontId="2" fillId="3" borderId="7" xfId="0" applyFont="1" applyFill="1" applyBorder="1"/>
    <xf numFmtId="2" fontId="2" fillId="3" borderId="7" xfId="0" applyNumberFormat="1" applyFont="1" applyFill="1" applyBorder="1" applyAlignment="1">
      <alignment horizontal="center"/>
    </xf>
    <xf numFmtId="1" fontId="2" fillId="3" borderId="7" xfId="0" applyNumberFormat="1" applyFont="1" applyFill="1" applyBorder="1" applyAlignment="1">
      <alignment horizontal="center"/>
    </xf>
    <xf numFmtId="1" fontId="2" fillId="3" borderId="2" xfId="0" applyNumberFormat="1" applyFont="1" applyFill="1" applyBorder="1" applyAlignment="1">
      <alignment horizontal="center"/>
    </xf>
    <xf numFmtId="0" fontId="14" fillId="2" borderId="0" xfId="0" applyFont="1" applyFill="1"/>
    <xf numFmtId="0" fontId="0" fillId="2" borderId="0" xfId="0" applyFill="1"/>
    <xf numFmtId="0" fontId="1" fillId="2" borderId="4" xfId="0" applyFont="1" applyFill="1" applyBorder="1" applyAlignment="1">
      <alignment horizontal="center"/>
    </xf>
    <xf numFmtId="0" fontId="15" fillId="2" borderId="0" xfId="0" applyFont="1" applyFill="1"/>
    <xf numFmtId="0" fontId="16" fillId="2" borderId="0" xfId="0" applyFont="1" applyFill="1"/>
    <xf numFmtId="0" fontId="17" fillId="0" borderId="0" xfId="0" applyFont="1"/>
    <xf numFmtId="0" fontId="3" fillId="4" borderId="0" xfId="0" applyFont="1" applyFill="1" applyAlignment="1">
      <alignment wrapText="1"/>
    </xf>
    <xf numFmtId="0" fontId="4" fillId="4" borderId="0" xfId="0" applyFont="1" applyFill="1" applyAlignment="1">
      <alignment wrapText="1"/>
    </xf>
    <xf numFmtId="0" fontId="17" fillId="4" borderId="0" xfId="0" applyFont="1" applyFill="1" applyAlignment="1">
      <alignment wrapText="1"/>
    </xf>
    <xf numFmtId="0" fontId="18" fillId="4" borderId="0" xfId="0" applyFont="1" applyFill="1" applyAlignment="1">
      <alignment wrapText="1"/>
    </xf>
    <xf numFmtId="0" fontId="17" fillId="4" borderId="1" xfId="0" applyFont="1" applyFill="1" applyBorder="1" applyAlignment="1">
      <alignment wrapText="1"/>
    </xf>
    <xf numFmtId="0" fontId="18" fillId="4" borderId="1" xfId="0" applyFont="1" applyFill="1" applyBorder="1" applyAlignment="1">
      <alignment wrapText="1"/>
    </xf>
    <xf numFmtId="0" fontId="18" fillId="3" borderId="0" xfId="0" applyFont="1" applyFill="1" applyAlignment="1">
      <alignment wrapText="1"/>
    </xf>
    <xf numFmtId="0" fontId="5" fillId="4" borderId="0" xfId="0" applyFont="1" applyFill="1" applyAlignment="1">
      <alignment wrapText="1"/>
    </xf>
    <xf numFmtId="0" fontId="5" fillId="4" borderId="8" xfId="0" applyFont="1" applyFill="1" applyBorder="1" applyAlignment="1">
      <alignment wrapText="1"/>
    </xf>
    <xf numFmtId="0" fontId="7" fillId="2" borderId="0" xfId="0" applyFont="1" applyFill="1" applyAlignment="1">
      <alignment wrapText="1"/>
    </xf>
    <xf numFmtId="0" fontId="5" fillId="0" borderId="0" xfId="0" applyFont="1" applyAlignment="1">
      <alignment wrapText="1"/>
    </xf>
    <xf numFmtId="0" fontId="17" fillId="4" borderId="9" xfId="0" applyFont="1" applyFill="1" applyBorder="1" applyAlignment="1">
      <alignment wrapText="1"/>
    </xf>
  </cellXfs>
  <cellStyles count="2">
    <cellStyle name="Hyperlink" xfId="1" builtinId="8"/>
    <cellStyle name="Normal" xfId="0" builtinId="0"/>
  </cellStyles>
  <dxfs count="3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" formatCode="0"/>
      <fill>
        <patternFill patternType="solid">
          <fgColor indexed="64"/>
          <bgColor rgb="FFFFFFFF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2" formatCode="0.00"/>
      <fill>
        <patternFill patternType="solid">
          <fgColor indexed="64"/>
          <bgColor rgb="FFFFFFFF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2" formatCode="0.00"/>
      <fill>
        <patternFill patternType="solid">
          <fgColor indexed="64"/>
          <bgColor rgb="FFFFFFFF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" formatCode="0"/>
      <fill>
        <patternFill patternType="solid">
          <fgColor indexed="64"/>
          <bgColor rgb="FFFFFFFF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indexed="64"/>
          <bgColor rgb="FFC6EFCE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2" formatCode="0.00"/>
      <fill>
        <patternFill patternType="solid">
          <fgColor indexed="64"/>
          <bgColor rgb="FFFFFFFF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2" formatCode="0.00"/>
      <fill>
        <patternFill patternType="solid">
          <fgColor indexed="64"/>
          <bgColor rgb="FFFFFFFF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2" formatCode="0.00"/>
      <fill>
        <patternFill patternType="solid">
          <fgColor indexed="64"/>
          <bgColor rgb="FFFFFFFF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2" formatCode="0.00"/>
      <fill>
        <patternFill patternType="solid">
          <fgColor indexed="64"/>
          <bgColor rgb="FFFFFFFF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2" formatCode="0.00"/>
      <fill>
        <patternFill patternType="solid">
          <fgColor indexed="64"/>
          <bgColor rgb="FFFFFFFF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2" formatCode="0.00"/>
      <fill>
        <patternFill patternType="solid">
          <fgColor indexed="64"/>
          <bgColor rgb="FFFFFFFF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2" formatCode="0.00"/>
      <fill>
        <patternFill patternType="solid">
          <fgColor indexed="64"/>
          <bgColor rgb="FFFFFFFF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2" formatCode="0.00"/>
      <fill>
        <patternFill patternType="solid">
          <fgColor indexed="64"/>
          <bgColor rgb="FFFFFFFF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indexed="64"/>
          <bgColor rgb="FFFFFFFF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indexed="64"/>
          <bgColor rgb="FFFFFFFF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bottom" textRotation="0" wrapText="0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alibri"/>
        <family val="2"/>
        <scheme val="none"/>
      </font>
      <fill>
        <patternFill patternType="solid">
          <fgColor indexed="64"/>
          <bgColor rgb="FF1F4E7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rial"/>
        <family val="2"/>
        <scheme val="none"/>
      </font>
      <numFmt numFmtId="164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rial"/>
        <family val="2"/>
        <scheme val="none"/>
      </font>
      <numFmt numFmtId="164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rial"/>
        <family val="2"/>
        <scheme val="none"/>
      </font>
      <numFmt numFmtId="164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rial"/>
        <family val="2"/>
        <scheme val="none"/>
      </font>
      <numFmt numFmtId="164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rial"/>
        <family val="2"/>
        <scheme val="none"/>
      </font>
      <numFmt numFmtId="164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rial"/>
        <family val="2"/>
        <scheme val="none"/>
      </font>
      <numFmt numFmtId="164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rial"/>
        <family val="2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Arial"/>
        <family val="2"/>
        <scheme val="none"/>
      </font>
    </dxf>
  </dxfs>
  <tableStyles count="0" defaultTableStyle="TableStyleMedium2" defaultPivotStyle="PivotStyleLight16"/>
  <colors>
    <mruColors>
      <color rgb="FF1F4E7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3F578BA-442E-2546-91E1-6D70C6C8F836}" name="Table1" displayName="Table1" ref="A1:H535" totalsRowShown="0" headerRowDxfId="29" dataDxfId="28">
  <autoFilter ref="A1:H535" xr:uid="{93F578BA-442E-2546-91E1-6D70C6C8F836}"/>
  <tableColumns count="8">
    <tableColumn id="1" xr3:uid="{8E4294CA-C7A1-1745-B4B7-BC79B311195E}" name="Rank" dataDxfId="27"/>
    <tableColumn id="2" xr3:uid="{23C0AF6A-98D9-C548-9AF7-27B87A7F0244}" name="City" dataCellStyle="Hyperlink"/>
    <tableColumn id="3" xr3:uid="{895B9AB1-EDEC-D04E-B471-A9E7B577178A}" name="Cost of Living Index" dataDxfId="26"/>
    <tableColumn id="4" xr3:uid="{CB392930-D92C-5D4E-9DF1-4A339F6A01E6}" name="Rent Index" dataDxfId="25"/>
    <tableColumn id="5" xr3:uid="{0A19CA7B-07FE-8944-B632-8555608771A8}" name="Cost of Living Plus Rent Index" dataDxfId="24"/>
    <tableColumn id="6" xr3:uid="{46AB74F4-6ACD-534E-BB96-F72619B575C4}" name="Groceries Index" dataDxfId="23"/>
    <tableColumn id="7" xr3:uid="{4E13854B-32DA-C74D-BE86-45C8CEF7F919}" name="Restaurant Price Index" dataDxfId="22"/>
    <tableColumn id="8" xr3:uid="{943024FE-0ECA-B441-A287-A7D4DF2DCE07}" name="Local Purchasing Power Index" dataDxfId="2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9051779-012B-1F49-BCFC-5123BD471CDC}" name="Table2" displayName="Table2" ref="A2:P8" totalsRowShown="0" headerRowDxfId="20" dataDxfId="18" headerRowBorderDxfId="19" tableBorderDxfId="17" totalsRowBorderDxfId="16">
  <autoFilter ref="A2:P8" xr:uid="{99051779-012B-1F49-BCFC-5123BD471CDC}"/>
  <sortState xmlns:xlrd2="http://schemas.microsoft.com/office/spreadsheetml/2017/richdata2" ref="A3:P8">
    <sortCondition ref="M2:M8"/>
  </sortState>
  <tableColumns count="16">
    <tableColumn id="1" xr3:uid="{EF043E7A-DC92-F141-98CE-097D9105A881}" name="City" dataDxfId="15"/>
    <tableColumn id="2" xr3:uid="{03AF070B-67D7-0849-9304-72338CF48290}" name="Country" dataDxfId="14"/>
    <tableColumn id="3" xr3:uid="{D8054814-E09F-2E4E-A1B4-CD48C8636A53}" name="Region" dataDxfId="13"/>
    <tableColumn id="4" xr3:uid="{8DD68195-7AAA-894B-9785-2970712842C5}" name="Cost of Living Index" dataDxfId="12"/>
    <tableColumn id="5" xr3:uid="{3E7D55DA-8313-264B-BBFD-597E4078BACE}" name="Rent Index" dataDxfId="11"/>
    <tableColumn id="6" xr3:uid="{13AF4106-ADEA-4140-AB9E-44965FCAD1B6}" name="Groceries Index" dataDxfId="10"/>
    <tableColumn id="7" xr3:uid="{7A9B7AF6-8BB8-694F-962D-968AEA6100CD}" name="Restaurant Index" dataDxfId="9"/>
    <tableColumn id="8" xr3:uid="{F49F5FD7-F3E6-5B47-A6B2-6AE8743F1B89}" name="Cost + Rent Index" dataDxfId="8"/>
    <tableColumn id="9" xr3:uid="{7F1BFD4C-9A0D-F349-95CF-5375FD158F35}" name="Local Purchasing Power Index" dataDxfId="7"/>
    <tableColumn id="10" xr3:uid="{0692083E-855E-0541-ABA1-68BCE71D0066}" name="Affordability" dataDxfId="6">
      <calculatedColumnFormula>H3/I3</calculatedColumnFormula>
    </tableColumn>
    <tableColumn id="11" xr3:uid="{A10A7922-8F01-5B42-A354-B157C6138B55}" name="Afford. vs Avg" dataDxfId="5">
      <calculatedColumnFormula>J3/AVERAGE($J$3:$J$8)</calculatedColumnFormula>
    </tableColumn>
    <tableColumn id="12" xr3:uid="{6468DB8D-7128-664F-8C5D-682878395C95}" name="Afford. Category" dataDxfId="4">
      <calculatedColumnFormula>IF(K3&gt;1,"Above Avg","Below Avg")</calculatedColumnFormula>
    </tableColumn>
    <tableColumn id="13" xr3:uid="{15C10C68-0FFA-3845-B04A-EB1ADCA554CF}" name="Affordability Rank" dataDxfId="3">
      <calculatedColumnFormula>RANK(J3,$J$3:$J$8,1)</calculatedColumnFormula>
    </tableColumn>
    <tableColumn id="14" xr3:uid="{C4C238B4-420E-004B-879E-529972445628}" name="Housing Cost Pressure" dataDxfId="2">
      <calculatedColumnFormula>E3/D3</calculatedColumnFormula>
    </tableColumn>
    <tableColumn id="15" xr3:uid="{AF0AF62F-09FF-4347-9104-25A45DA5ED9E}" name="Groc–Rest Gap" dataDxfId="1">
      <calculatedColumnFormula>F3-G3</calculatedColumnFormula>
    </tableColumn>
    <tableColumn id="16" xr3:uid="{284EB879-C3EC-0E47-A747-7CB68EC28F81}" name="Cost Rank (by Cost + Rent Index)" dataDxfId="0">
      <calculatedColumnFormula>RANK(H3,$H$3:$H$8,0)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400ED45-E7A5-434A-A34E-B4CC74D439EC}">
  <we:reference id="wa200009404" version="1.0.0.8" store="en-US" storeType="OMEX"/>
  <we:alternateReferences>
    <we:reference id="wa200009404" version="1.0.0.8" store="" storeType="OMEX"/>
  </we:alternateReferences>
  <we:properties/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numbeo.com/cost-of-living/in/Cork" TargetMode="External"/><Relationship Id="rId21" Type="http://schemas.openxmlformats.org/officeDocument/2006/relationships/hyperlink" Target="https://www.numbeo.com/cost-of-living/in/Singapore" TargetMode="External"/><Relationship Id="rId324" Type="http://schemas.openxmlformats.org/officeDocument/2006/relationships/hyperlink" Target="https://www.numbeo.com/cost-of-living/in/Lodz" TargetMode="External"/><Relationship Id="rId531" Type="http://schemas.openxmlformats.org/officeDocument/2006/relationships/hyperlink" Target="https://www.numbeo.com/cost-of-living/in/Guwahati" TargetMode="External"/><Relationship Id="rId170" Type="http://schemas.openxmlformats.org/officeDocument/2006/relationships/hyperlink" Target="https://www.numbeo.com/cost-of-living/in/Newcastle-Upon-Tyne" TargetMode="External"/><Relationship Id="rId268" Type="http://schemas.openxmlformats.org/officeDocument/2006/relationships/hyperlink" Target="https://www.numbeo.com/cost-of-living/in/Athens" TargetMode="External"/><Relationship Id="rId475" Type="http://schemas.openxmlformats.org/officeDocument/2006/relationships/hyperlink" Target="https://www.numbeo.com/cost-of-living/in/Dnipropetrovsk" TargetMode="External"/><Relationship Id="rId32" Type="http://schemas.openxmlformats.org/officeDocument/2006/relationships/hyperlink" Target="https://www.numbeo.com/cost-of-living/in/Haifa" TargetMode="External"/><Relationship Id="rId128" Type="http://schemas.openxmlformats.org/officeDocument/2006/relationships/hyperlink" Target="https://www.numbeo.com/cost-of-living/in/Columbus" TargetMode="External"/><Relationship Id="rId335" Type="http://schemas.openxmlformats.org/officeDocument/2006/relationships/hyperlink" Target="https://www.numbeo.com/cost-of-living/in/Varna" TargetMode="External"/><Relationship Id="rId181" Type="http://schemas.openxmlformats.org/officeDocument/2006/relationships/hyperlink" Target="https://www.numbeo.com/cost-of-living/in/Oulu" TargetMode="External"/><Relationship Id="rId402" Type="http://schemas.openxmlformats.org/officeDocument/2006/relationships/hyperlink" Target="https://www.numbeo.com/cost-of-living/in/Chisinau" TargetMode="External"/><Relationship Id="rId279" Type="http://schemas.openxmlformats.org/officeDocument/2006/relationships/hyperlink" Target="https://www.numbeo.com/cost-of-living/in/Oviedo" TargetMode="External"/><Relationship Id="rId444" Type="http://schemas.openxmlformats.org/officeDocument/2006/relationships/hyperlink" Target="https://www.numbeo.com/cost-of-living/in/Rabat" TargetMode="External"/><Relationship Id="rId486" Type="http://schemas.openxmlformats.org/officeDocument/2006/relationships/hyperlink" Target="https://www.numbeo.com/cost-of-living/in/Ho-Chi-Minh-City" TargetMode="External"/><Relationship Id="rId43" Type="http://schemas.openxmlformats.org/officeDocument/2006/relationships/hyperlink" Target="https://www.numbeo.com/cost-of-living/in/Haarlem" TargetMode="External"/><Relationship Id="rId139" Type="http://schemas.openxmlformats.org/officeDocument/2006/relationships/hyperlink" Target="https://www.numbeo.com/cost-of-living/in/Uppsala" TargetMode="External"/><Relationship Id="rId290" Type="http://schemas.openxmlformats.org/officeDocument/2006/relationships/hyperlink" Target="https://www.numbeo.com/cost-of-living/in/New-Taipei-City" TargetMode="External"/><Relationship Id="rId304" Type="http://schemas.openxmlformats.org/officeDocument/2006/relationships/hyperlink" Target="https://www.numbeo.com/cost-of-living/in/Buenos-Aires" TargetMode="External"/><Relationship Id="rId346" Type="http://schemas.openxmlformats.org/officeDocument/2006/relationships/hyperlink" Target="https://www.numbeo.com/cost-of-living/in/Kaohsiung" TargetMode="External"/><Relationship Id="rId388" Type="http://schemas.openxmlformats.org/officeDocument/2006/relationships/hyperlink" Target="https://www.numbeo.com/cost-of-living/in/Phnom-Penh" TargetMode="External"/><Relationship Id="rId511" Type="http://schemas.openxmlformats.org/officeDocument/2006/relationships/hyperlink" Target="https://www.numbeo.com/cost-of-living/in/Hyderabad" TargetMode="External"/><Relationship Id="rId85" Type="http://schemas.openxmlformats.org/officeDocument/2006/relationships/hyperlink" Target="https://www.numbeo.com/cost-of-living/in/Marseille" TargetMode="External"/><Relationship Id="rId150" Type="http://schemas.openxmlformats.org/officeDocument/2006/relationships/hyperlink" Target="https://www.numbeo.com/cost-of-living/in/Dresden" TargetMode="External"/><Relationship Id="rId192" Type="http://schemas.openxmlformats.org/officeDocument/2006/relationships/hyperlink" Target="https://www.numbeo.com/cost-of-living/in/Grenoble" TargetMode="External"/><Relationship Id="rId206" Type="http://schemas.openxmlformats.org/officeDocument/2006/relationships/hyperlink" Target="https://www.numbeo.com/cost-of-living/in/Coventry" TargetMode="External"/><Relationship Id="rId413" Type="http://schemas.openxmlformats.org/officeDocument/2006/relationships/hyperlink" Target="https://www.numbeo.com/cost-of-living/in/Florianopolis" TargetMode="External"/><Relationship Id="rId248" Type="http://schemas.openxmlformats.org/officeDocument/2006/relationships/hyperlink" Target="https://www.numbeo.com/cost-of-living/in/Huntsville" TargetMode="External"/><Relationship Id="rId455" Type="http://schemas.openxmlformats.org/officeDocument/2006/relationships/hyperlink" Target="https://www.numbeo.com/cost-of-living/in/Rostov-on-Don-Rostov-na-donu-Russia" TargetMode="External"/><Relationship Id="rId497" Type="http://schemas.openxmlformats.org/officeDocument/2006/relationships/hyperlink" Target="https://www.numbeo.com/cost-of-living/in/Kharkiv" TargetMode="External"/><Relationship Id="rId12" Type="http://schemas.openxmlformats.org/officeDocument/2006/relationships/hyperlink" Target="https://www.numbeo.com/cost-of-living/in/Oslo" TargetMode="External"/><Relationship Id="rId108" Type="http://schemas.openxmlformats.org/officeDocument/2006/relationships/hyperlink" Target="https://www.numbeo.com/cost-of-living/in/Oklahoma-City" TargetMode="External"/><Relationship Id="rId315" Type="http://schemas.openxmlformats.org/officeDocument/2006/relationships/hyperlink" Target="https://www.numbeo.com/cost-of-living/in/Sevilla" TargetMode="External"/><Relationship Id="rId357" Type="http://schemas.openxmlformats.org/officeDocument/2006/relationships/hyperlink" Target="https://www.numbeo.com/cost-of-living/in/Santiago" TargetMode="External"/><Relationship Id="rId522" Type="http://schemas.openxmlformats.org/officeDocument/2006/relationships/hyperlink" Target="https://www.numbeo.com/cost-of-living/in/Kolkata" TargetMode="External"/><Relationship Id="rId54" Type="http://schemas.openxmlformats.org/officeDocument/2006/relationships/hyperlink" Target="https://www.numbeo.com/cost-of-living/in/Melbourne" TargetMode="External"/><Relationship Id="rId96" Type="http://schemas.openxmlformats.org/officeDocument/2006/relationships/hyperlink" Target="https://www.numbeo.com/cost-of-living/in/Edinburgh" TargetMode="External"/><Relationship Id="rId161" Type="http://schemas.openxmlformats.org/officeDocument/2006/relationships/hyperlink" Target="https://www.numbeo.com/cost-of-living/in/Glasgow" TargetMode="External"/><Relationship Id="rId217" Type="http://schemas.openxmlformats.org/officeDocument/2006/relationships/hyperlink" Target="https://www.numbeo.com/cost-of-living/in/Trento" TargetMode="External"/><Relationship Id="rId399" Type="http://schemas.openxmlformats.org/officeDocument/2006/relationships/hyperlink" Target="https://www.numbeo.com/cost-of-living/in/Saint-Petersburg" TargetMode="External"/><Relationship Id="rId259" Type="http://schemas.openxmlformats.org/officeDocument/2006/relationships/hyperlink" Target="https://www.numbeo.com/cost-of-living/in/Palma-De-Mallorca" TargetMode="External"/><Relationship Id="rId424" Type="http://schemas.openxmlformats.org/officeDocument/2006/relationships/hyperlink" Target="https://www.numbeo.com/cost-of-living/in/Durban" TargetMode="External"/><Relationship Id="rId466" Type="http://schemas.openxmlformats.org/officeDocument/2006/relationships/hyperlink" Target="https://www.numbeo.com/cost-of-living/in/Nairobi" TargetMode="External"/><Relationship Id="rId23" Type="http://schemas.openxmlformats.org/officeDocument/2006/relationships/hyperlink" Target="https://www.numbeo.com/cost-of-living/in/Ramat-Gan" TargetMode="External"/><Relationship Id="rId119" Type="http://schemas.openxmlformats.org/officeDocument/2006/relationships/hyperlink" Target="https://www.numbeo.com/cost-of-living/in/Bristol" TargetMode="External"/><Relationship Id="rId270" Type="http://schemas.openxmlformats.org/officeDocument/2006/relationships/hyperlink" Target="https://www.numbeo.com/cost-of-living/in/San-Jose-Costa-Rica" TargetMode="External"/><Relationship Id="rId326" Type="http://schemas.openxmlformats.org/officeDocument/2006/relationships/hyperlink" Target="https://www.numbeo.com/cost-of-living/in/Taichung" TargetMode="External"/><Relationship Id="rId533" Type="http://schemas.openxmlformats.org/officeDocument/2006/relationships/hyperlink" Target="https://www.numbeo.com/cost-of-living/in/Rajkot" TargetMode="External"/><Relationship Id="rId65" Type="http://schemas.openxmlformats.org/officeDocument/2006/relationships/hyperlink" Target="https://www.numbeo.com/cost-of-living/in/Espoo" TargetMode="External"/><Relationship Id="rId130" Type="http://schemas.openxmlformats.org/officeDocument/2006/relationships/hyperlink" Target="https://www.numbeo.com/cost-of-living/in/Brisbane" TargetMode="External"/><Relationship Id="rId368" Type="http://schemas.openxmlformats.org/officeDocument/2006/relationships/hyperlink" Target="https://www.numbeo.com/cost-of-living/in/Addis-Ababa" TargetMode="External"/><Relationship Id="rId172" Type="http://schemas.openxmlformats.org/officeDocument/2006/relationships/hyperlink" Target="https://www.numbeo.com/cost-of-living/in/Seoul" TargetMode="External"/><Relationship Id="rId228" Type="http://schemas.openxmlformats.org/officeDocument/2006/relationships/hyperlink" Target="https://www.numbeo.com/cost-of-living/in/Edmonton" TargetMode="External"/><Relationship Id="rId435" Type="http://schemas.openxmlformats.org/officeDocument/2006/relationships/hyperlink" Target="https://www.numbeo.com/cost-of-living/in/Porto-Alegre" TargetMode="External"/><Relationship Id="rId477" Type="http://schemas.openxmlformats.org/officeDocument/2006/relationships/hyperlink" Target="https://www.numbeo.com/cost-of-living/in/Cuenca" TargetMode="External"/><Relationship Id="rId281" Type="http://schemas.openxmlformats.org/officeDocument/2006/relationships/hyperlink" Target="https://www.numbeo.com/cost-of-living/in/Taipei" TargetMode="External"/><Relationship Id="rId337" Type="http://schemas.openxmlformats.org/officeDocument/2006/relationships/hyperlink" Target="https://www.numbeo.com/cost-of-living/in/Bucharest" TargetMode="External"/><Relationship Id="rId502" Type="http://schemas.openxmlformats.org/officeDocument/2006/relationships/hyperlink" Target="https://www.numbeo.com/cost-of-living/in/Islamabad" TargetMode="External"/><Relationship Id="rId34" Type="http://schemas.openxmlformats.org/officeDocument/2006/relationships/hyperlink" Target="https://www.numbeo.com/cost-of-living/in/Arlington" TargetMode="External"/><Relationship Id="rId76" Type="http://schemas.openxmlformats.org/officeDocument/2006/relationships/hyperlink" Target="https://www.numbeo.com/cost-of-living/in/Cambridge" TargetMode="External"/><Relationship Id="rId141" Type="http://schemas.openxmlformats.org/officeDocument/2006/relationships/hyperlink" Target="https://www.numbeo.com/cost-of-living/in/Madison" TargetMode="External"/><Relationship Id="rId379" Type="http://schemas.openxmlformats.org/officeDocument/2006/relationships/hyperlink" Target="https://www.numbeo.com/cost-of-living/in/Sao-Paulo" TargetMode="External"/><Relationship Id="rId7" Type="http://schemas.openxmlformats.org/officeDocument/2006/relationships/hyperlink" Target="https://www.numbeo.com/cost-of-living/in/Bern" TargetMode="External"/><Relationship Id="rId183" Type="http://schemas.openxmlformats.org/officeDocument/2006/relationships/hyperlink" Target="https://www.numbeo.com/cost-of-living/in/Verona" TargetMode="External"/><Relationship Id="rId239" Type="http://schemas.openxmlformats.org/officeDocument/2006/relationships/hyperlink" Target="https://www.numbeo.com/cost-of-living/in/Columbia" TargetMode="External"/><Relationship Id="rId390" Type="http://schemas.openxmlformats.org/officeDocument/2006/relationships/hyperlink" Target="https://www.numbeo.com/cost-of-living/in/Sibiu" TargetMode="External"/><Relationship Id="rId404" Type="http://schemas.openxmlformats.org/officeDocument/2006/relationships/hyperlink" Target="https://www.numbeo.com/cost-of-living/in/Medellin" TargetMode="External"/><Relationship Id="rId446" Type="http://schemas.openxmlformats.org/officeDocument/2006/relationships/hyperlink" Target="https://www.numbeo.com/cost-of-living/in/Nizhny-Novgorod-Russia" TargetMode="External"/><Relationship Id="rId250" Type="http://schemas.openxmlformats.org/officeDocument/2006/relationships/hyperlink" Target="https://www.numbeo.com/cost-of-living/in/Winnipeg" TargetMode="External"/><Relationship Id="rId292" Type="http://schemas.openxmlformats.org/officeDocument/2006/relationships/hyperlink" Target="https://www.numbeo.com/cost-of-living/in/Warsaw" TargetMode="External"/><Relationship Id="rId306" Type="http://schemas.openxmlformats.org/officeDocument/2006/relationships/hyperlink" Target="https://www.numbeo.com/cost-of-living/in/Wroclaw" TargetMode="External"/><Relationship Id="rId488" Type="http://schemas.openxmlformats.org/officeDocument/2006/relationships/hyperlink" Target="https://www.numbeo.com/cost-of-living/in/Chengdu" TargetMode="External"/><Relationship Id="rId45" Type="http://schemas.openxmlformats.org/officeDocument/2006/relationships/hyperlink" Target="https://www.numbeo.com/cost-of-living/in/Paris" TargetMode="External"/><Relationship Id="rId87" Type="http://schemas.openxmlformats.org/officeDocument/2006/relationships/hyperlink" Target="https://www.numbeo.com/cost-of-living/in/Syracuse" TargetMode="External"/><Relationship Id="rId110" Type="http://schemas.openxmlformats.org/officeDocument/2006/relationships/hyperlink" Target="https://www.numbeo.com/cost-of-living/in/Antwerp" TargetMode="External"/><Relationship Id="rId348" Type="http://schemas.openxmlformats.org/officeDocument/2006/relationships/hyperlink" Target="https://www.numbeo.com/cost-of-living/in/Szeged" TargetMode="External"/><Relationship Id="rId513" Type="http://schemas.openxmlformats.org/officeDocument/2006/relationships/hyperlink" Target="https://www.numbeo.com/cost-of-living/in/Rawalpindi" TargetMode="External"/><Relationship Id="rId152" Type="http://schemas.openxmlformats.org/officeDocument/2006/relationships/hyperlink" Target="https://www.numbeo.com/cost-of-living/in/Bremen" TargetMode="External"/><Relationship Id="rId194" Type="http://schemas.openxmlformats.org/officeDocument/2006/relationships/hyperlink" Target="https://www.numbeo.com/cost-of-living/in/Erlangen" TargetMode="External"/><Relationship Id="rId208" Type="http://schemas.openxmlformats.org/officeDocument/2006/relationships/hyperlink" Target="https://www.numbeo.com/cost-of-living/in/Auckland" TargetMode="External"/><Relationship Id="rId415" Type="http://schemas.openxmlformats.org/officeDocument/2006/relationships/hyperlink" Target="https://www.numbeo.com/cost-of-living/in/Tangier" TargetMode="External"/><Relationship Id="rId457" Type="http://schemas.openxmlformats.org/officeDocument/2006/relationships/hyperlink" Target="https://www.numbeo.com/cost-of-living/in/Agadir" TargetMode="External"/><Relationship Id="rId261" Type="http://schemas.openxmlformats.org/officeDocument/2006/relationships/hyperlink" Target="https://www.numbeo.com/cost-of-living/in/Prague" TargetMode="External"/><Relationship Id="rId499" Type="http://schemas.openxmlformats.org/officeDocument/2006/relationships/hyperlink" Target="https://www.numbeo.com/cost-of-living/in/Dhaka" TargetMode="External"/><Relationship Id="rId14" Type="http://schemas.openxmlformats.org/officeDocument/2006/relationships/hyperlink" Target="https://www.numbeo.com/cost-of-living/in/Trondheim" TargetMode="External"/><Relationship Id="rId56" Type="http://schemas.openxmlformats.org/officeDocument/2006/relationships/hyperlink" Target="https://www.numbeo.com/cost-of-living/in/Pisa" TargetMode="External"/><Relationship Id="rId317" Type="http://schemas.openxmlformats.org/officeDocument/2006/relationships/hyperlink" Target="https://www.numbeo.com/cost-of-living/in/Riyadh" TargetMode="External"/><Relationship Id="rId359" Type="http://schemas.openxmlformats.org/officeDocument/2006/relationships/hyperlink" Target="https://www.numbeo.com/cost-of-living/in/Guadalajara" TargetMode="External"/><Relationship Id="rId524" Type="http://schemas.openxmlformats.org/officeDocument/2006/relationships/hyperlink" Target="https://www.numbeo.com/cost-of-living/in/Patna" TargetMode="External"/><Relationship Id="rId98" Type="http://schemas.openxmlformats.org/officeDocument/2006/relationships/hyperlink" Target="https://www.numbeo.com/cost-of-living/in/Nashville" TargetMode="External"/><Relationship Id="rId121" Type="http://schemas.openxmlformats.org/officeDocument/2006/relationships/hyperlink" Target="https://www.numbeo.com/cost-of-living/in/Eindhoven" TargetMode="External"/><Relationship Id="rId163" Type="http://schemas.openxmlformats.org/officeDocument/2006/relationships/hyperlink" Target="https://www.numbeo.com/cost-of-living/in/Belfast" TargetMode="External"/><Relationship Id="rId219" Type="http://schemas.openxmlformats.org/officeDocument/2006/relationships/hyperlink" Target="https://www.numbeo.com/cost-of-living/in/Tallinn" TargetMode="External"/><Relationship Id="rId370" Type="http://schemas.openxmlformats.org/officeDocument/2006/relationships/hyperlink" Target="https://www.numbeo.com/cost-of-living/in/Timisoara" TargetMode="External"/><Relationship Id="rId426" Type="http://schemas.openxmlformats.org/officeDocument/2006/relationships/hyperlink" Target="https://www.numbeo.com/cost-of-living/in/Ulaanbaatar" TargetMode="External"/><Relationship Id="rId230" Type="http://schemas.openxmlformats.org/officeDocument/2006/relationships/hyperlink" Target="https://www.numbeo.com/cost-of-living/in/Guelph" TargetMode="External"/><Relationship Id="rId468" Type="http://schemas.openxmlformats.org/officeDocument/2006/relationships/hyperlink" Target="https://www.numbeo.com/cost-of-living/in/Davao" TargetMode="External"/><Relationship Id="rId25" Type="http://schemas.openxmlformats.org/officeDocument/2006/relationships/hyperlink" Target="https://www.numbeo.com/cost-of-living/in/Anchorage" TargetMode="External"/><Relationship Id="rId67" Type="http://schemas.openxmlformats.org/officeDocument/2006/relationships/hyperlink" Target="https://www.numbeo.com/cost-of-living/in/Milan" TargetMode="External"/><Relationship Id="rId272" Type="http://schemas.openxmlformats.org/officeDocument/2006/relationships/hyperlink" Target="https://www.numbeo.com/cost-of-living/in/Kingston" TargetMode="External"/><Relationship Id="rId328" Type="http://schemas.openxmlformats.org/officeDocument/2006/relationships/hyperlink" Target="https://www.numbeo.com/cost-of-living/in/Mexico-City" TargetMode="External"/><Relationship Id="rId535" Type="http://schemas.openxmlformats.org/officeDocument/2006/relationships/table" Target="../tables/table1.xml"/><Relationship Id="rId132" Type="http://schemas.openxmlformats.org/officeDocument/2006/relationships/hyperlink" Target="https://www.numbeo.com/cost-of-living/in/Kiel" TargetMode="External"/><Relationship Id="rId174" Type="http://schemas.openxmlformats.org/officeDocument/2006/relationships/hyperlink" Target="https://www.numbeo.com/cost-of-living/in/Milwaukee" TargetMode="External"/><Relationship Id="rId381" Type="http://schemas.openxmlformats.org/officeDocument/2006/relationships/hyperlink" Target="https://www.numbeo.com/cost-of-living/in/Bursa" TargetMode="External"/><Relationship Id="rId241" Type="http://schemas.openxmlformats.org/officeDocument/2006/relationships/hyperlink" Target="https://www.numbeo.com/cost-of-living/in/Dubai" TargetMode="External"/><Relationship Id="rId437" Type="http://schemas.openxmlformats.org/officeDocument/2006/relationships/hyperlink" Target="https://www.numbeo.com/cost-of-living/in/Kazan" TargetMode="External"/><Relationship Id="rId479" Type="http://schemas.openxmlformats.org/officeDocument/2006/relationships/hyperlink" Target="https://www.numbeo.com/cost-of-living/in/Jakarta" TargetMode="External"/><Relationship Id="rId36" Type="http://schemas.openxmlformats.org/officeDocument/2006/relationships/hyperlink" Target="https://www.numbeo.com/cost-of-living/in/Stockholm" TargetMode="External"/><Relationship Id="rId283" Type="http://schemas.openxmlformats.org/officeDocument/2006/relationships/hyperlink" Target="https://www.numbeo.com/cost-of-living/in/Lisbon" TargetMode="External"/><Relationship Id="rId339" Type="http://schemas.openxmlformats.org/officeDocument/2006/relationships/hyperlink" Target="https://www.numbeo.com/cost-of-living/in/Muscat" TargetMode="External"/><Relationship Id="rId490" Type="http://schemas.openxmlformats.org/officeDocument/2006/relationships/hyperlink" Target="https://www.numbeo.com/cost-of-living/in/Chongqing" TargetMode="External"/><Relationship Id="rId504" Type="http://schemas.openxmlformats.org/officeDocument/2006/relationships/hyperlink" Target="https://www.numbeo.com/cost-of-living/in/Kathmandu" TargetMode="External"/><Relationship Id="rId78" Type="http://schemas.openxmlformats.org/officeDocument/2006/relationships/hyperlink" Target="https://www.numbeo.com/cost-of-living/in/Minneapolis" TargetMode="External"/><Relationship Id="rId101" Type="http://schemas.openxmlformats.org/officeDocument/2006/relationships/hyperlink" Target="https://www.numbeo.com/cost-of-living/in/Gent" TargetMode="External"/><Relationship Id="rId143" Type="http://schemas.openxmlformats.org/officeDocument/2006/relationships/hyperlink" Target="https://www.numbeo.com/cost-of-living/in/York" TargetMode="External"/><Relationship Id="rId185" Type="http://schemas.openxmlformats.org/officeDocument/2006/relationships/hyperlink" Target="https://www.numbeo.com/cost-of-living/in/Dundee" TargetMode="External"/><Relationship Id="rId350" Type="http://schemas.openxmlformats.org/officeDocument/2006/relationships/hyperlink" Target="https://www.numbeo.com/cost-of-living/in/Brasov" TargetMode="External"/><Relationship Id="rId406" Type="http://schemas.openxmlformats.org/officeDocument/2006/relationships/hyperlink" Target="https://www.numbeo.com/cost-of-living/in/Eskisehir" TargetMode="External"/><Relationship Id="rId9" Type="http://schemas.openxmlformats.org/officeDocument/2006/relationships/hyperlink" Target="https://www.numbeo.com/cost-of-living/in/New-York" TargetMode="External"/><Relationship Id="rId210" Type="http://schemas.openxmlformats.org/officeDocument/2006/relationships/hyperlink" Target="https://www.numbeo.com/cost-of-living/in/San-Antonio" TargetMode="External"/><Relationship Id="rId392" Type="http://schemas.openxmlformats.org/officeDocument/2006/relationships/hyperlink" Target="https://www.numbeo.com/cost-of-living/in/Skopje" TargetMode="External"/><Relationship Id="rId448" Type="http://schemas.openxmlformats.org/officeDocument/2006/relationships/hyperlink" Target="https://www.numbeo.com/cost-of-living/in/Voronezh" TargetMode="External"/><Relationship Id="rId252" Type="http://schemas.openxmlformats.org/officeDocument/2006/relationships/hyperlink" Target="https://www.numbeo.com/cost-of-living/in/Madrid" TargetMode="External"/><Relationship Id="rId294" Type="http://schemas.openxmlformats.org/officeDocument/2006/relationships/hyperlink" Target="https://www.numbeo.com/cost-of-living/in/Kaunas" TargetMode="External"/><Relationship Id="rId308" Type="http://schemas.openxmlformats.org/officeDocument/2006/relationships/hyperlink" Target="https://www.numbeo.com/cost-of-living/in/Tirana" TargetMode="External"/><Relationship Id="rId515" Type="http://schemas.openxmlformats.org/officeDocument/2006/relationships/hyperlink" Target="https://www.numbeo.com/cost-of-living/in/Lahore" TargetMode="External"/><Relationship Id="rId47" Type="http://schemas.openxmlformats.org/officeDocument/2006/relationships/hyperlink" Target="https://www.numbeo.com/cost-of-living/in/New-Orleans" TargetMode="External"/><Relationship Id="rId89" Type="http://schemas.openxmlformats.org/officeDocument/2006/relationships/hyperlink" Target="https://www.numbeo.com/cost-of-living/in/Saint-Louis" TargetMode="External"/><Relationship Id="rId112" Type="http://schemas.openxmlformats.org/officeDocument/2006/relationships/hyperlink" Target="https://www.numbeo.com/cost-of-living/in/Spokane" TargetMode="External"/><Relationship Id="rId154" Type="http://schemas.openxmlformats.org/officeDocument/2006/relationships/hyperlink" Target="https://www.numbeo.com/cost-of-living/in/Victoria" TargetMode="External"/><Relationship Id="rId361" Type="http://schemas.openxmlformats.org/officeDocument/2006/relationships/hyperlink" Target="https://www.numbeo.com/cost-of-living/in/San-Salvador" TargetMode="External"/><Relationship Id="rId196" Type="http://schemas.openxmlformats.org/officeDocument/2006/relationships/hyperlink" Target="https://www.numbeo.com/cost-of-living/in/Rochester" TargetMode="External"/><Relationship Id="rId417" Type="http://schemas.openxmlformats.org/officeDocument/2006/relationships/hyperlink" Target="https://www.numbeo.com/cost-of-living/in/Hangzhou" TargetMode="External"/><Relationship Id="rId459" Type="http://schemas.openxmlformats.org/officeDocument/2006/relationships/hyperlink" Target="https://www.numbeo.com/cost-of-living/in/Sousse" TargetMode="External"/><Relationship Id="rId16" Type="http://schemas.openxmlformats.org/officeDocument/2006/relationships/hyperlink" Target="https://www.numbeo.com/cost-of-living/in/London" TargetMode="External"/><Relationship Id="rId221" Type="http://schemas.openxmlformats.org/officeDocument/2006/relationships/hyperlink" Target="https://www.numbeo.com/cost-of-living/in/Calgary" TargetMode="External"/><Relationship Id="rId263" Type="http://schemas.openxmlformats.org/officeDocument/2006/relationships/hyperlink" Target="https://www.numbeo.com/cost-of-living/in/Ljubljana" TargetMode="External"/><Relationship Id="rId319" Type="http://schemas.openxmlformats.org/officeDocument/2006/relationships/hyperlink" Target="https://www.numbeo.com/cost-of-living/in/Funchal" TargetMode="External"/><Relationship Id="rId470" Type="http://schemas.openxmlformats.org/officeDocument/2006/relationships/hyperlink" Target="https://www.numbeo.com/cost-of-living/in/Asuncion" TargetMode="External"/><Relationship Id="rId526" Type="http://schemas.openxmlformats.org/officeDocument/2006/relationships/hyperlink" Target="https://www.numbeo.com/cost-of-living/in/Kochi" TargetMode="External"/><Relationship Id="rId58" Type="http://schemas.openxmlformats.org/officeDocument/2006/relationships/hyperlink" Target="https://www.numbeo.com/cost-of-living/in/Reno" TargetMode="External"/><Relationship Id="rId123" Type="http://schemas.openxmlformats.org/officeDocument/2006/relationships/hyperlink" Target="https://www.numbeo.com/cost-of-living/in/San-Juan" TargetMode="External"/><Relationship Id="rId330" Type="http://schemas.openxmlformats.org/officeDocument/2006/relationships/hyperlink" Target="https://www.numbeo.com/cost-of-living/in/Poznan" TargetMode="External"/><Relationship Id="rId165" Type="http://schemas.openxmlformats.org/officeDocument/2006/relationships/hyperlink" Target="https://www.numbeo.com/cost-of-living/in/Milton-Keynes" TargetMode="External"/><Relationship Id="rId372" Type="http://schemas.openxmlformats.org/officeDocument/2006/relationships/hyperlink" Target="https://www.numbeo.com/cost-of-living/in/Vladivostok" TargetMode="External"/><Relationship Id="rId428" Type="http://schemas.openxmlformats.org/officeDocument/2006/relationships/hyperlink" Target="https://www.numbeo.com/cost-of-living/in/Manila" TargetMode="External"/><Relationship Id="rId232" Type="http://schemas.openxmlformats.org/officeDocument/2006/relationships/hyperlink" Target="https://www.numbeo.com/cost-of-living/in/Ottawa" TargetMode="External"/><Relationship Id="rId274" Type="http://schemas.openxmlformats.org/officeDocument/2006/relationships/hyperlink" Target="https://www.numbeo.com/cost-of-living/in/Heraklion" TargetMode="External"/><Relationship Id="rId481" Type="http://schemas.openxmlformats.org/officeDocument/2006/relationships/hyperlink" Target="https://www.numbeo.com/cost-of-living/in/Tashkent" TargetMode="External"/><Relationship Id="rId27" Type="http://schemas.openxmlformats.org/officeDocument/2006/relationships/hyperlink" Target="https://www.numbeo.com/cost-of-living/in/Copenhagen" TargetMode="External"/><Relationship Id="rId69" Type="http://schemas.openxmlformats.org/officeDocument/2006/relationships/hyperlink" Target="https://www.numbeo.com/cost-of-living/in/Dallas" TargetMode="External"/><Relationship Id="rId134" Type="http://schemas.openxmlformats.org/officeDocument/2006/relationships/hyperlink" Target="https://www.numbeo.com/cost-of-living/in/Groningen" TargetMode="External"/><Relationship Id="rId80" Type="http://schemas.openxmlformats.org/officeDocument/2006/relationships/hyperlink" Target="https://www.numbeo.com/cost-of-living/in/Gold-Coast" TargetMode="External"/><Relationship Id="rId176" Type="http://schemas.openxmlformats.org/officeDocument/2006/relationships/hyperlink" Target="https://www.numbeo.com/cost-of-living/in/Leeds" TargetMode="External"/><Relationship Id="rId341" Type="http://schemas.openxmlformats.org/officeDocument/2006/relationships/hyperlink" Target="https://www.numbeo.com/cost-of-living/in/Novi-Sad" TargetMode="External"/><Relationship Id="rId383" Type="http://schemas.openxmlformats.org/officeDocument/2006/relationships/hyperlink" Target="https://www.numbeo.com/cost-of-living/in/Antalya" TargetMode="External"/><Relationship Id="rId439" Type="http://schemas.openxmlformats.org/officeDocument/2006/relationships/hyperlink" Target="https://www.numbeo.com/cost-of-living/in/Damascus" TargetMode="External"/><Relationship Id="rId201" Type="http://schemas.openxmlformats.org/officeDocument/2006/relationships/hyperlink" Target="https://www.numbeo.com/cost-of-living/in/Houston" TargetMode="External"/><Relationship Id="rId243" Type="http://schemas.openxmlformats.org/officeDocument/2006/relationships/hyperlink" Target="https://www.numbeo.com/cost-of-living/in/Rome" TargetMode="External"/><Relationship Id="rId285" Type="http://schemas.openxmlformats.org/officeDocument/2006/relationships/hyperlink" Target="https://www.numbeo.com/cost-of-living/in/Doha" TargetMode="External"/><Relationship Id="rId450" Type="http://schemas.openxmlformats.org/officeDocument/2006/relationships/hyperlink" Target="https://www.numbeo.com/cost-of-living/in/Curitiba" TargetMode="External"/><Relationship Id="rId506" Type="http://schemas.openxmlformats.org/officeDocument/2006/relationships/hyperlink" Target="https://www.numbeo.com/cost-of-living/in/Delhi" TargetMode="External"/><Relationship Id="rId38" Type="http://schemas.openxmlformats.org/officeDocument/2006/relationships/hyperlink" Target="https://www.numbeo.com/cost-of-living/in/Irvine" TargetMode="External"/><Relationship Id="rId103" Type="http://schemas.openxmlformats.org/officeDocument/2006/relationships/hyperlink" Target="https://www.numbeo.com/cost-of-living/in/Graz" TargetMode="External"/><Relationship Id="rId310" Type="http://schemas.openxmlformats.org/officeDocument/2006/relationships/hyperlink" Target="https://www.numbeo.com/cost-of-living/in/Ostrava" TargetMode="External"/><Relationship Id="rId492" Type="http://schemas.openxmlformats.org/officeDocument/2006/relationships/hyperlink" Target="https://www.numbeo.com/cost-of-living/in/Surabaya" TargetMode="External"/><Relationship Id="rId91" Type="http://schemas.openxmlformats.org/officeDocument/2006/relationships/hyperlink" Target="https://www.numbeo.com/cost-of-living/in/Galway" TargetMode="External"/><Relationship Id="rId145" Type="http://schemas.openxmlformats.org/officeDocument/2006/relationships/hyperlink" Target="https://www.numbeo.com/cost-of-living/in/Bonn" TargetMode="External"/><Relationship Id="rId187" Type="http://schemas.openxmlformats.org/officeDocument/2006/relationships/hyperlink" Target="https://www.numbeo.com/cost-of-living/in/Lethbridge" TargetMode="External"/><Relationship Id="rId352" Type="http://schemas.openxmlformats.org/officeDocument/2006/relationships/hyperlink" Target="https://www.numbeo.com/cost-of-living/in/Osaka" TargetMode="External"/><Relationship Id="rId394" Type="http://schemas.openxmlformats.org/officeDocument/2006/relationships/hyperlink" Target="https://www.numbeo.com/cost-of-living/in/Mersin" TargetMode="External"/><Relationship Id="rId408" Type="http://schemas.openxmlformats.org/officeDocument/2006/relationships/hyperlink" Target="https://www.numbeo.com/cost-of-living/in/Guayaquil" TargetMode="External"/><Relationship Id="rId212" Type="http://schemas.openxmlformats.org/officeDocument/2006/relationships/hyperlink" Target="https://www.numbeo.com/cost-of-living/in/Tulsa" TargetMode="External"/><Relationship Id="rId254" Type="http://schemas.openxmlformats.org/officeDocument/2006/relationships/hyperlink" Target="https://www.numbeo.com/cost-of-living/in/Hamilton" TargetMode="External"/><Relationship Id="rId49" Type="http://schemas.openxmlformats.org/officeDocument/2006/relationships/hyperlink" Target="https://www.numbeo.com/cost-of-living/in/Portland" TargetMode="External"/><Relationship Id="rId114" Type="http://schemas.openxmlformats.org/officeDocument/2006/relationships/hyperlink" Target="https://www.numbeo.com/cost-of-living/in/Mainz" TargetMode="External"/><Relationship Id="rId296" Type="http://schemas.openxmlformats.org/officeDocument/2006/relationships/hyperlink" Target="https://www.numbeo.com/cost-of-living/in/Valencia" TargetMode="External"/><Relationship Id="rId461" Type="http://schemas.openxmlformats.org/officeDocument/2006/relationships/hyperlink" Target="https://www.numbeo.com/cost-of-living/in/Changsha-China" TargetMode="External"/><Relationship Id="rId517" Type="http://schemas.openxmlformats.org/officeDocument/2006/relationships/hyperlink" Target="https://www.numbeo.com/cost-of-living/in/Thane" TargetMode="External"/><Relationship Id="rId60" Type="http://schemas.openxmlformats.org/officeDocument/2006/relationships/hyperlink" Target="https://www.numbeo.com/cost-of-living/in/Oxford" TargetMode="External"/><Relationship Id="rId156" Type="http://schemas.openxmlformats.org/officeDocument/2006/relationships/hyperlink" Target="https://www.numbeo.com/cost-of-living/in/Limerick" TargetMode="External"/><Relationship Id="rId198" Type="http://schemas.openxmlformats.org/officeDocument/2006/relationships/hyperlink" Target="https://www.numbeo.com/cost-of-living/in/Chemnitz" TargetMode="External"/><Relationship Id="rId321" Type="http://schemas.openxmlformats.org/officeDocument/2006/relationships/hyperlink" Target="https://www.numbeo.com/cost-of-living/in/Olomouc" TargetMode="External"/><Relationship Id="rId363" Type="http://schemas.openxmlformats.org/officeDocument/2006/relationships/hyperlink" Target="https://www.numbeo.com/cost-of-living/in/Yerevan" TargetMode="External"/><Relationship Id="rId419" Type="http://schemas.openxmlformats.org/officeDocument/2006/relationships/hyperlink" Target="https://www.numbeo.com/cost-of-living/in/Kaliningrad" TargetMode="External"/><Relationship Id="rId223" Type="http://schemas.openxmlformats.org/officeDocument/2006/relationships/hyperlink" Target="https://www.numbeo.com/cost-of-living/in/Cagliari" TargetMode="External"/><Relationship Id="rId430" Type="http://schemas.openxmlformats.org/officeDocument/2006/relationships/hyperlink" Target="https://www.numbeo.com/cost-of-living/in/Hua-Hin" TargetMode="External"/><Relationship Id="rId18" Type="http://schemas.openxmlformats.org/officeDocument/2006/relationships/hyperlink" Target="https://www.numbeo.com/cost-of-living/in/Seattle" TargetMode="External"/><Relationship Id="rId265" Type="http://schemas.openxmlformats.org/officeDocument/2006/relationships/hyperlink" Target="https://www.numbeo.com/cost-of-living/in/Nicosia" TargetMode="External"/><Relationship Id="rId472" Type="http://schemas.openxmlformats.org/officeDocument/2006/relationships/hyperlink" Target="https://www.numbeo.com/cost-of-living/in/Batumi" TargetMode="External"/><Relationship Id="rId528" Type="http://schemas.openxmlformats.org/officeDocument/2006/relationships/hyperlink" Target="https://www.numbeo.com/cost-of-living/in/Bhopal" TargetMode="External"/><Relationship Id="rId125" Type="http://schemas.openxmlformats.org/officeDocument/2006/relationships/hyperlink" Target="https://www.numbeo.com/cost-of-living/in/Stuttgart" TargetMode="External"/><Relationship Id="rId167" Type="http://schemas.openxmlformats.org/officeDocument/2006/relationships/hyperlink" Target="https://www.numbeo.com/cost-of-living/in/Raleigh" TargetMode="External"/><Relationship Id="rId332" Type="http://schemas.openxmlformats.org/officeDocument/2006/relationships/hyperlink" Target="https://www.numbeo.com/cost-of-living/in/Torrevieja" TargetMode="External"/><Relationship Id="rId374" Type="http://schemas.openxmlformats.org/officeDocument/2006/relationships/hyperlink" Target="https://www.numbeo.com/cost-of-living/in/Cape-Town" TargetMode="External"/><Relationship Id="rId71" Type="http://schemas.openxmlformats.org/officeDocument/2006/relationships/hyperlink" Target="https://www.numbeo.com/cost-of-living/in/Brighton" TargetMode="External"/><Relationship Id="rId234" Type="http://schemas.openxmlformats.org/officeDocument/2006/relationships/hyperlink" Target="https://www.numbeo.com/cost-of-living/in/Valletta" TargetMode="External"/><Relationship Id="rId2" Type="http://schemas.openxmlformats.org/officeDocument/2006/relationships/hyperlink" Target="https://www.numbeo.com/cost-of-living/in/Geneva" TargetMode="External"/><Relationship Id="rId29" Type="http://schemas.openxmlformats.org/officeDocument/2006/relationships/hyperlink" Target="https://www.numbeo.com/cost-of-living/in/Miami" TargetMode="External"/><Relationship Id="rId276" Type="http://schemas.openxmlformats.org/officeDocument/2006/relationships/hyperlink" Target="https://www.numbeo.com/cost-of-living/in/Tokyo" TargetMode="External"/><Relationship Id="rId441" Type="http://schemas.openxmlformats.org/officeDocument/2006/relationships/hyperlink" Target="https://www.numbeo.com/cost-of-living/in/Krasnodar" TargetMode="External"/><Relationship Id="rId483" Type="http://schemas.openxmlformats.org/officeDocument/2006/relationships/hyperlink" Target="https://www.numbeo.com/cost-of-living/in/Bishkek" TargetMode="External"/><Relationship Id="rId40" Type="http://schemas.openxmlformats.org/officeDocument/2006/relationships/hyperlink" Target="https://www.numbeo.com/cost-of-living/in/Fort-Lauderdale" TargetMode="External"/><Relationship Id="rId136" Type="http://schemas.openxmlformats.org/officeDocument/2006/relationships/hyperlink" Target="https://www.numbeo.com/cost-of-living/in/Toulouse" TargetMode="External"/><Relationship Id="rId178" Type="http://schemas.openxmlformats.org/officeDocument/2006/relationships/hyperlink" Target="https://www.numbeo.com/cost-of-living/in/Leipzig" TargetMode="External"/><Relationship Id="rId301" Type="http://schemas.openxmlformats.org/officeDocument/2006/relationships/hyperlink" Target="https://www.numbeo.com/cost-of-living/in/Plzen" TargetMode="External"/><Relationship Id="rId343" Type="http://schemas.openxmlformats.org/officeDocument/2006/relationships/hyperlink" Target="https://www.numbeo.com/cost-of-living/in/Abidjan" TargetMode="External"/><Relationship Id="rId82" Type="http://schemas.openxmlformats.org/officeDocument/2006/relationships/hyperlink" Target="https://www.numbeo.com/cost-of-living/in/Hong-Kong" TargetMode="External"/><Relationship Id="rId203" Type="http://schemas.openxmlformats.org/officeDocument/2006/relationships/hyperlink" Target="https://www.numbeo.com/cost-of-living/in/Montpellier" TargetMode="External"/><Relationship Id="rId385" Type="http://schemas.openxmlformats.org/officeDocument/2006/relationships/hyperlink" Target="https://www.numbeo.com/cost-of-living/in/Shanghai" TargetMode="External"/><Relationship Id="rId245" Type="http://schemas.openxmlformats.org/officeDocument/2006/relationships/hyperlink" Target="https://www.numbeo.com/cost-of-living/in/Brampton" TargetMode="External"/><Relationship Id="rId287" Type="http://schemas.openxmlformats.org/officeDocument/2006/relationships/hyperlink" Target="https://www.numbeo.com/cost-of-living/in/Rijeka" TargetMode="External"/><Relationship Id="rId410" Type="http://schemas.openxmlformats.org/officeDocument/2006/relationships/hyperlink" Target="https://www.numbeo.com/cost-of-living/in/Kuching" TargetMode="External"/><Relationship Id="rId452" Type="http://schemas.openxmlformats.org/officeDocument/2006/relationships/hyperlink" Target="https://www.numbeo.com/cost-of-living/in/Cebu" TargetMode="External"/><Relationship Id="rId494" Type="http://schemas.openxmlformats.org/officeDocument/2006/relationships/hyperlink" Target="https://www.numbeo.com/cost-of-living/in/Xi%27an" TargetMode="External"/><Relationship Id="rId508" Type="http://schemas.openxmlformats.org/officeDocument/2006/relationships/hyperlink" Target="https://www.numbeo.com/cost-of-living/in/Cairo-Egypt" TargetMode="External"/><Relationship Id="rId105" Type="http://schemas.openxmlformats.org/officeDocument/2006/relationships/hyperlink" Target="https://www.numbeo.com/cost-of-living/in/Reading" TargetMode="External"/><Relationship Id="rId147" Type="http://schemas.openxmlformats.org/officeDocument/2006/relationships/hyperlink" Target="https://www.numbeo.com/cost-of-living/in/Linz" TargetMode="External"/><Relationship Id="rId312" Type="http://schemas.openxmlformats.org/officeDocument/2006/relationships/hyperlink" Target="https://www.numbeo.com/cost-of-living/in/Gdansk" TargetMode="External"/><Relationship Id="rId354" Type="http://schemas.openxmlformats.org/officeDocument/2006/relationships/hyperlink" Target="https://www.numbeo.com/cost-of-living/in/Constanta" TargetMode="External"/><Relationship Id="rId51" Type="http://schemas.openxmlformats.org/officeDocument/2006/relationships/hyperlink" Target="https://www.numbeo.com/cost-of-living/in/Beersheba" TargetMode="External"/><Relationship Id="rId93" Type="http://schemas.openxmlformats.org/officeDocument/2006/relationships/hyperlink" Target="https://www.numbeo.com/cost-of-living/in/Dusseldorf" TargetMode="External"/><Relationship Id="rId189" Type="http://schemas.openxmlformats.org/officeDocument/2006/relationships/hyperlink" Target="https://www.numbeo.com/cost-of-living/in/Nottingham" TargetMode="External"/><Relationship Id="rId396" Type="http://schemas.openxmlformats.org/officeDocument/2006/relationships/hyperlink" Target="https://www.numbeo.com/cost-of-living/in/Shenzhen" TargetMode="External"/><Relationship Id="rId214" Type="http://schemas.openxmlformats.org/officeDocument/2006/relationships/hyperlink" Target="https://www.numbeo.com/cost-of-living/in/Leuven" TargetMode="External"/><Relationship Id="rId256" Type="http://schemas.openxmlformats.org/officeDocument/2006/relationships/hyperlink" Target="https://www.numbeo.com/cost-of-living/in/Barcelona" TargetMode="External"/><Relationship Id="rId298" Type="http://schemas.openxmlformats.org/officeDocument/2006/relationships/hyperlink" Target="https://www.numbeo.com/cost-of-living/in/Malaga" TargetMode="External"/><Relationship Id="rId421" Type="http://schemas.openxmlformats.org/officeDocument/2006/relationships/hyperlink" Target="https://www.numbeo.com/cost-of-living/in/Erbil-Irbil-Iraq" TargetMode="External"/><Relationship Id="rId463" Type="http://schemas.openxmlformats.org/officeDocument/2006/relationships/hyperlink" Target="https://www.numbeo.com/cost-of-living/in/Marrakech" TargetMode="External"/><Relationship Id="rId519" Type="http://schemas.openxmlformats.org/officeDocument/2006/relationships/hyperlink" Target="https://www.numbeo.com/cost-of-living/in/Chandigarh" TargetMode="External"/><Relationship Id="rId116" Type="http://schemas.openxmlformats.org/officeDocument/2006/relationships/hyperlink" Target="https://www.numbeo.com/cost-of-living/in/Leiden" TargetMode="External"/><Relationship Id="rId158" Type="http://schemas.openxmlformats.org/officeDocument/2006/relationships/hyperlink" Target="https://www.numbeo.com/cost-of-living/in/Manchester" TargetMode="External"/><Relationship Id="rId323" Type="http://schemas.openxmlformats.org/officeDocument/2006/relationships/hyperlink" Target="https://www.numbeo.com/cost-of-living/in/Pecs" TargetMode="External"/><Relationship Id="rId530" Type="http://schemas.openxmlformats.org/officeDocument/2006/relationships/hyperlink" Target="https://www.numbeo.com/cost-of-living/in/Indore" TargetMode="External"/><Relationship Id="rId20" Type="http://schemas.openxmlformats.org/officeDocument/2006/relationships/hyperlink" Target="https://www.numbeo.com/cost-of-living/in/Washington" TargetMode="External"/><Relationship Id="rId62" Type="http://schemas.openxmlformats.org/officeDocument/2006/relationships/hyperlink" Target="https://www.numbeo.com/cost-of-living/in/Albany" TargetMode="External"/><Relationship Id="rId365" Type="http://schemas.openxmlformats.org/officeDocument/2006/relationships/hyperlink" Target="https://www.numbeo.com/cost-of-living/in/Vlore-Albania" TargetMode="External"/><Relationship Id="rId225" Type="http://schemas.openxmlformats.org/officeDocument/2006/relationships/hyperlink" Target="https://www.numbeo.com/cost-of-living/in/Cincinnati" TargetMode="External"/><Relationship Id="rId267" Type="http://schemas.openxmlformats.org/officeDocument/2006/relationships/hyperlink" Target="https://www.numbeo.com/cost-of-living/in/Montevideo" TargetMode="External"/><Relationship Id="rId432" Type="http://schemas.openxmlformats.org/officeDocument/2006/relationships/hyperlink" Target="https://www.numbeo.com/cost-of-living/in/Casablanca" TargetMode="External"/><Relationship Id="rId474" Type="http://schemas.openxmlformats.org/officeDocument/2006/relationships/hyperlink" Target="https://www.numbeo.com/cost-of-living/in/Recife" TargetMode="External"/><Relationship Id="rId127" Type="http://schemas.openxmlformats.org/officeDocument/2006/relationships/hyperlink" Target="https://www.numbeo.com/cost-of-living/in/Brussels" TargetMode="External"/><Relationship Id="rId31" Type="http://schemas.openxmlformats.org/officeDocument/2006/relationships/hyperlink" Target="https://www.numbeo.com/cost-of-living/in/San-Diego" TargetMode="External"/><Relationship Id="rId73" Type="http://schemas.openxmlformats.org/officeDocument/2006/relationships/hyperlink" Target="https://www.numbeo.com/cost-of-living/in/Vienna" TargetMode="External"/><Relationship Id="rId169" Type="http://schemas.openxmlformats.org/officeDocument/2006/relationships/hyperlink" Target="https://www.numbeo.com/cost-of-living/in/Gainesville" TargetMode="External"/><Relationship Id="rId334" Type="http://schemas.openxmlformats.org/officeDocument/2006/relationships/hyperlink" Target="https://www.numbeo.com/cost-of-living/in/Moscow" TargetMode="External"/><Relationship Id="rId376" Type="http://schemas.openxmlformats.org/officeDocument/2006/relationships/hyperlink" Target="https://www.numbeo.com/cost-of-living/in/Burgas" TargetMode="External"/><Relationship Id="rId4" Type="http://schemas.openxmlformats.org/officeDocument/2006/relationships/hyperlink" Target="https://www.numbeo.com/cost-of-living/in/Lugano" TargetMode="External"/><Relationship Id="rId180" Type="http://schemas.openxmlformats.org/officeDocument/2006/relationships/hyperlink" Target="https://www.numbeo.com/cost-of-living/in/Kansas-City" TargetMode="External"/><Relationship Id="rId236" Type="http://schemas.openxmlformats.org/officeDocument/2006/relationships/hyperlink" Target="https://www.numbeo.com/cost-of-living/in/Regina" TargetMode="External"/><Relationship Id="rId278" Type="http://schemas.openxmlformats.org/officeDocument/2006/relationships/hyperlink" Target="https://www.numbeo.com/cost-of-living/in/Thessaloniki" TargetMode="External"/><Relationship Id="rId401" Type="http://schemas.openxmlformats.org/officeDocument/2006/relationships/hyperlink" Target="https://www.numbeo.com/cost-of-living/in/Tbilisi" TargetMode="External"/><Relationship Id="rId443" Type="http://schemas.openxmlformats.org/officeDocument/2006/relationships/hyperlink" Target="https://www.numbeo.com/cost-of-living/in/Baku" TargetMode="External"/><Relationship Id="rId303" Type="http://schemas.openxmlformats.org/officeDocument/2006/relationships/hyperlink" Target="https://www.numbeo.com/cost-of-living/in/Budapest" TargetMode="External"/><Relationship Id="rId485" Type="http://schemas.openxmlformats.org/officeDocument/2006/relationships/hyperlink" Target="https://www.numbeo.com/cost-of-living/in/Hanoi" TargetMode="External"/><Relationship Id="rId42" Type="http://schemas.openxmlformats.org/officeDocument/2006/relationships/hyperlink" Target="https://www.numbeo.com/cost-of-living/in/Sacramento" TargetMode="External"/><Relationship Id="rId84" Type="http://schemas.openxmlformats.org/officeDocument/2006/relationships/hyperlink" Target="https://www.numbeo.com/cost-of-living/in/Buffalo" TargetMode="External"/><Relationship Id="rId138" Type="http://schemas.openxmlformats.org/officeDocument/2006/relationships/hyperlink" Target="https://www.numbeo.com/cost-of-living/in/Nuremberg" TargetMode="External"/><Relationship Id="rId345" Type="http://schemas.openxmlformats.org/officeDocument/2006/relationships/hyperlink" Target="https://www.numbeo.com/cost-of-living/in/Szczecin" TargetMode="External"/><Relationship Id="rId387" Type="http://schemas.openxmlformats.org/officeDocument/2006/relationships/hyperlink" Target="https://www.numbeo.com/cost-of-living/in/Harare" TargetMode="External"/><Relationship Id="rId510" Type="http://schemas.openxmlformats.org/officeDocument/2006/relationships/hyperlink" Target="https://www.numbeo.com/cost-of-living/in/Bangalore" TargetMode="External"/><Relationship Id="rId191" Type="http://schemas.openxmlformats.org/officeDocument/2006/relationships/hyperlink" Target="https://www.numbeo.com/cost-of-living/in/Omaha" TargetMode="External"/><Relationship Id="rId205" Type="http://schemas.openxmlformats.org/officeDocument/2006/relationships/hyperlink" Target="https://www.numbeo.com/cost-of-living/in/Lund" TargetMode="External"/><Relationship Id="rId247" Type="http://schemas.openxmlformats.org/officeDocument/2006/relationships/hyperlink" Target="https://www.numbeo.com/cost-of-living/in/Turin" TargetMode="External"/><Relationship Id="rId412" Type="http://schemas.openxmlformats.org/officeDocument/2006/relationships/hyperlink" Target="https://www.numbeo.com/cost-of-living/in/Guangzhou" TargetMode="External"/><Relationship Id="rId107" Type="http://schemas.openxmlformats.org/officeDocument/2006/relationships/hyperlink" Target="https://www.numbeo.com/cost-of-living/in/Southampton" TargetMode="External"/><Relationship Id="rId289" Type="http://schemas.openxmlformats.org/officeDocument/2006/relationships/hyperlink" Target="https://www.numbeo.com/cost-of-living/in/Catania" TargetMode="External"/><Relationship Id="rId454" Type="http://schemas.openxmlformats.org/officeDocument/2006/relationships/hyperlink" Target="https://www.numbeo.com/cost-of-living/in/Samara" TargetMode="External"/><Relationship Id="rId496" Type="http://schemas.openxmlformats.org/officeDocument/2006/relationships/hyperlink" Target="https://www.numbeo.com/cost-of-living/in/Kampala" TargetMode="External"/><Relationship Id="rId11" Type="http://schemas.openxmlformats.org/officeDocument/2006/relationships/hyperlink" Target="https://www.numbeo.com/cost-of-living/in/San-Francisco" TargetMode="External"/><Relationship Id="rId53" Type="http://schemas.openxmlformats.org/officeDocument/2006/relationships/hyperlink" Target="https://www.numbeo.com/cost-of-living/in/Utrecht" TargetMode="External"/><Relationship Id="rId149" Type="http://schemas.openxmlformats.org/officeDocument/2006/relationships/hyperlink" Target="https://www.numbeo.com/cost-of-living/in/Tampere" TargetMode="External"/><Relationship Id="rId314" Type="http://schemas.openxmlformats.org/officeDocument/2006/relationships/hyperlink" Target="https://www.numbeo.com/cost-of-living/in/Al-Khobar" TargetMode="External"/><Relationship Id="rId356" Type="http://schemas.openxmlformats.org/officeDocument/2006/relationships/hyperlink" Target="https://www.numbeo.com/cost-of-living/in/Sarajevo" TargetMode="External"/><Relationship Id="rId398" Type="http://schemas.openxmlformats.org/officeDocument/2006/relationships/hyperlink" Target="https://www.numbeo.com/cost-of-living/in/Nis" TargetMode="External"/><Relationship Id="rId521" Type="http://schemas.openxmlformats.org/officeDocument/2006/relationships/hyperlink" Target="https://www.numbeo.com/cost-of-living/in/Alexandria" TargetMode="External"/><Relationship Id="rId95" Type="http://schemas.openxmlformats.org/officeDocument/2006/relationships/hyperlink" Target="https://www.numbeo.com/cost-of-living/in/Greenville" TargetMode="External"/><Relationship Id="rId160" Type="http://schemas.openxmlformats.org/officeDocument/2006/relationships/hyperlink" Target="https://www.numbeo.com/cost-of-living/in/Austin" TargetMode="External"/><Relationship Id="rId216" Type="http://schemas.openxmlformats.org/officeDocument/2006/relationships/hyperlink" Target="https://www.numbeo.com/cost-of-living/in/Wellington" TargetMode="External"/><Relationship Id="rId423" Type="http://schemas.openxmlformats.org/officeDocument/2006/relationships/hyperlink" Target="https://www.numbeo.com/cost-of-living/in/Joao-Pessoa" TargetMode="External"/><Relationship Id="rId258" Type="http://schemas.openxmlformats.org/officeDocument/2006/relationships/hyperlink" Target="https://www.numbeo.com/cost-of-living/in/Reggio-Nell%27emilia" TargetMode="External"/><Relationship Id="rId465" Type="http://schemas.openxmlformats.org/officeDocument/2006/relationships/hyperlink" Target="https://www.numbeo.com/cost-of-living/in/Astana-Nur-Sultan-Kazakhstan" TargetMode="External"/><Relationship Id="rId22" Type="http://schemas.openxmlformats.org/officeDocument/2006/relationships/hyperlink" Target="https://www.numbeo.com/cost-of-living/in/Charleston" TargetMode="External"/><Relationship Id="rId64" Type="http://schemas.openxmlformats.org/officeDocument/2006/relationships/hyperlink" Target="https://www.numbeo.com/cost-of-living/in/Nice" TargetMode="External"/><Relationship Id="rId118" Type="http://schemas.openxmlformats.org/officeDocument/2006/relationships/hyperlink" Target="https://www.numbeo.com/cost-of-living/in/Las-Vegas" TargetMode="External"/><Relationship Id="rId325" Type="http://schemas.openxmlformats.org/officeDocument/2006/relationships/hyperlink" Target="https://www.numbeo.com/cost-of-living/in/Braga" TargetMode="External"/><Relationship Id="rId367" Type="http://schemas.openxmlformats.org/officeDocument/2006/relationships/hyperlink" Target="https://www.numbeo.com/cost-of-living/in/Pretoria" TargetMode="External"/><Relationship Id="rId532" Type="http://schemas.openxmlformats.org/officeDocument/2006/relationships/hyperlink" Target="https://www.numbeo.com/cost-of-living/in/Lucknow-Lakhnau" TargetMode="External"/><Relationship Id="rId171" Type="http://schemas.openxmlformats.org/officeDocument/2006/relationships/hyperlink" Target="https://www.numbeo.com/cost-of-living/in/Toronto" TargetMode="External"/><Relationship Id="rId227" Type="http://schemas.openxmlformats.org/officeDocument/2006/relationships/hyperlink" Target="https://www.numbeo.com/cost-of-living/in/Saskatoon" TargetMode="External"/><Relationship Id="rId269" Type="http://schemas.openxmlformats.org/officeDocument/2006/relationships/hyperlink" Target="https://www.numbeo.com/cost-of-living/in/Bari" TargetMode="External"/><Relationship Id="rId434" Type="http://schemas.openxmlformats.org/officeDocument/2006/relationships/hyperlink" Target="https://www.numbeo.com/cost-of-living/in/Quito" TargetMode="External"/><Relationship Id="rId476" Type="http://schemas.openxmlformats.org/officeDocument/2006/relationships/hyperlink" Target="https://www.numbeo.com/cost-of-living/in/Wuhan" TargetMode="External"/><Relationship Id="rId33" Type="http://schemas.openxmlformats.org/officeDocument/2006/relationships/hyperlink" Target="https://www.numbeo.com/cost-of-living/in/Amsterdam" TargetMode="External"/><Relationship Id="rId129" Type="http://schemas.openxmlformats.org/officeDocument/2006/relationships/hyperlink" Target="https://www.numbeo.com/cost-of-living/in/Tampa" TargetMode="External"/><Relationship Id="rId280" Type="http://schemas.openxmlformats.org/officeDocument/2006/relationships/hyperlink" Target="https://www.numbeo.com/cost-of-living/in/Ras-Al-khaimah" TargetMode="External"/><Relationship Id="rId336" Type="http://schemas.openxmlformats.org/officeDocument/2006/relationships/hyperlink" Target="https://www.numbeo.com/cost-of-living/in/Kuwait-City" TargetMode="External"/><Relationship Id="rId501" Type="http://schemas.openxmlformats.org/officeDocument/2006/relationships/hyperlink" Target="https://www.numbeo.com/cost-of-living/in/Gurgaon" TargetMode="External"/><Relationship Id="rId75" Type="http://schemas.openxmlformats.org/officeDocument/2006/relationships/hyperlink" Target="https://www.numbeo.com/cost-of-living/in/Delft" TargetMode="External"/><Relationship Id="rId140" Type="http://schemas.openxmlformats.org/officeDocument/2006/relationships/hyperlink" Target="https://www.numbeo.com/cost-of-living/in/Indianapolis" TargetMode="External"/><Relationship Id="rId182" Type="http://schemas.openxmlformats.org/officeDocument/2006/relationships/hyperlink" Target="https://www.numbeo.com/cost-of-living/in/Cardiff" TargetMode="External"/><Relationship Id="rId378" Type="http://schemas.openxmlformats.org/officeDocument/2006/relationships/hyperlink" Target="https://www.numbeo.com/cost-of-living/in/Ankara" TargetMode="External"/><Relationship Id="rId403" Type="http://schemas.openxmlformats.org/officeDocument/2006/relationships/hyperlink" Target="https://www.numbeo.com/cost-of-living/in/Tyumen-Russia" TargetMode="External"/><Relationship Id="rId6" Type="http://schemas.openxmlformats.org/officeDocument/2006/relationships/hyperlink" Target="https://www.numbeo.com/cost-of-living/in/George-Town-Cayman-Islands" TargetMode="External"/><Relationship Id="rId238" Type="http://schemas.openxmlformats.org/officeDocument/2006/relationships/hyperlink" Target="https://www.numbeo.com/cost-of-living/in/Louisville" TargetMode="External"/><Relationship Id="rId445" Type="http://schemas.openxmlformats.org/officeDocument/2006/relationships/hyperlink" Target="https://www.numbeo.com/cost-of-living/in/Belo-Horizonte" TargetMode="External"/><Relationship Id="rId487" Type="http://schemas.openxmlformats.org/officeDocument/2006/relationships/hyperlink" Target="https://www.numbeo.com/cost-of-living/in/Algiers" TargetMode="External"/><Relationship Id="rId291" Type="http://schemas.openxmlformats.org/officeDocument/2006/relationships/hyperlink" Target="https://www.numbeo.com/cost-of-living/in/Brno" TargetMode="External"/><Relationship Id="rId305" Type="http://schemas.openxmlformats.org/officeDocument/2006/relationships/hyperlink" Target="https://www.numbeo.com/cost-of-living/in/Las-Palmas" TargetMode="External"/><Relationship Id="rId347" Type="http://schemas.openxmlformats.org/officeDocument/2006/relationships/hyperlink" Target="https://www.numbeo.com/cost-of-living/in/Ajman" TargetMode="External"/><Relationship Id="rId512" Type="http://schemas.openxmlformats.org/officeDocument/2006/relationships/hyperlink" Target="https://www.numbeo.com/cost-of-living/in/Noida" TargetMode="External"/><Relationship Id="rId44" Type="http://schemas.openxmlformats.org/officeDocument/2006/relationships/hyperlink" Target="https://www.numbeo.com/cost-of-living/in/Philadelphia" TargetMode="External"/><Relationship Id="rId86" Type="http://schemas.openxmlformats.org/officeDocument/2006/relationships/hyperlink" Target="https://www.numbeo.com/cost-of-living/in/Baltimore" TargetMode="External"/><Relationship Id="rId151" Type="http://schemas.openxmlformats.org/officeDocument/2006/relationships/hyperlink" Target="https://www.numbeo.com/cost-of-living/in/Florence" TargetMode="External"/><Relationship Id="rId389" Type="http://schemas.openxmlformats.org/officeDocument/2006/relationships/hyperlink" Target="https://www.numbeo.com/cost-of-living/in/Windhoek" TargetMode="External"/><Relationship Id="rId193" Type="http://schemas.openxmlformats.org/officeDocument/2006/relationships/hyperlink" Target="https://www.numbeo.com/cost-of-living/in/Wichita" TargetMode="External"/><Relationship Id="rId207" Type="http://schemas.openxmlformats.org/officeDocument/2006/relationships/hyperlink" Target="https://www.numbeo.com/cost-of-living/in/Sliema" TargetMode="External"/><Relationship Id="rId249" Type="http://schemas.openxmlformats.org/officeDocument/2006/relationships/hyperlink" Target="https://www.numbeo.com/cost-of-living/in/Naples" TargetMode="External"/><Relationship Id="rId414" Type="http://schemas.openxmlformats.org/officeDocument/2006/relationships/hyperlink" Target="https://www.numbeo.com/cost-of-living/in/Campinas" TargetMode="External"/><Relationship Id="rId456" Type="http://schemas.openxmlformats.org/officeDocument/2006/relationships/hyperlink" Target="https://www.numbeo.com/cost-of-living/in/Quezon-City" TargetMode="External"/><Relationship Id="rId498" Type="http://schemas.openxmlformats.org/officeDocument/2006/relationships/hyperlink" Target="https://www.numbeo.com/cost-of-living/in/Mumbai" TargetMode="External"/><Relationship Id="rId13" Type="http://schemas.openxmlformats.org/officeDocument/2006/relationships/hyperlink" Target="https://www.numbeo.com/cost-of-living/in/Tel-Aviv-Yafo" TargetMode="External"/><Relationship Id="rId109" Type="http://schemas.openxmlformats.org/officeDocument/2006/relationships/hyperlink" Target="https://www.numbeo.com/cost-of-living/in/Cologne" TargetMode="External"/><Relationship Id="rId260" Type="http://schemas.openxmlformats.org/officeDocument/2006/relationships/hyperlink" Target="https://www.numbeo.com/cost-of-living/in/Bergamo" TargetMode="External"/><Relationship Id="rId316" Type="http://schemas.openxmlformats.org/officeDocument/2006/relationships/hyperlink" Target="https://www.numbeo.com/cost-of-living/in/Budva" TargetMode="External"/><Relationship Id="rId523" Type="http://schemas.openxmlformats.org/officeDocument/2006/relationships/hyperlink" Target="https://www.numbeo.com/cost-of-living/in/Giza" TargetMode="External"/><Relationship Id="rId55" Type="http://schemas.openxmlformats.org/officeDocument/2006/relationships/hyperlink" Target="https://www.numbeo.com/cost-of-living/in/Salzburg" TargetMode="External"/><Relationship Id="rId97" Type="http://schemas.openxmlformats.org/officeDocument/2006/relationships/hyperlink" Target="https://www.numbeo.com/cost-of-living/in/Perth" TargetMode="External"/><Relationship Id="rId120" Type="http://schemas.openxmlformats.org/officeDocument/2006/relationships/hyperlink" Target="https://www.numbeo.com/cost-of-living/in/Hamburg" TargetMode="External"/><Relationship Id="rId358" Type="http://schemas.openxmlformats.org/officeDocument/2006/relationships/hyperlink" Target="https://www.numbeo.com/cost-of-living/in/Podgorica" TargetMode="External"/><Relationship Id="rId162" Type="http://schemas.openxmlformats.org/officeDocument/2006/relationships/hyperlink" Target="https://www.numbeo.com/cost-of-living/in/Bologna" TargetMode="External"/><Relationship Id="rId218" Type="http://schemas.openxmlformats.org/officeDocument/2006/relationships/hyperlink" Target="https://www.numbeo.com/cost-of-living/in/Sheffield" TargetMode="External"/><Relationship Id="rId425" Type="http://schemas.openxmlformats.org/officeDocument/2006/relationships/hyperlink" Target="https://www.numbeo.com/cost-of-living/in/Bogota" TargetMode="External"/><Relationship Id="rId467" Type="http://schemas.openxmlformats.org/officeDocument/2006/relationships/hyperlink" Target="https://www.numbeo.com/cost-of-living/in/Minsk" TargetMode="External"/><Relationship Id="rId271" Type="http://schemas.openxmlformats.org/officeDocument/2006/relationships/hyperlink" Target="https://www.numbeo.com/cost-of-living/in/Paphos" TargetMode="External"/><Relationship Id="rId24" Type="http://schemas.openxmlformats.org/officeDocument/2006/relationships/hyperlink" Target="https://www.numbeo.com/cost-of-living/in/Boston" TargetMode="External"/><Relationship Id="rId66" Type="http://schemas.openxmlformats.org/officeDocument/2006/relationships/hyperlink" Target="https://www.numbeo.com/cost-of-living/in/Atlanta" TargetMode="External"/><Relationship Id="rId131" Type="http://schemas.openxmlformats.org/officeDocument/2006/relationships/hyperlink" Target="https://www.numbeo.com/cost-of-living/in/Berlin" TargetMode="External"/><Relationship Id="rId327" Type="http://schemas.openxmlformats.org/officeDocument/2006/relationships/hyperlink" Target="https://www.numbeo.com/cost-of-living/in/Coimbra" TargetMode="External"/><Relationship Id="rId369" Type="http://schemas.openxmlformats.org/officeDocument/2006/relationships/hyperlink" Target="https://www.numbeo.com/cost-of-living/in/Bangkok" TargetMode="External"/><Relationship Id="rId534" Type="http://schemas.openxmlformats.org/officeDocument/2006/relationships/hyperlink" Target="https://www.numbeo.com/cost-of-living/in/Coimbatore" TargetMode="External"/><Relationship Id="rId173" Type="http://schemas.openxmlformats.org/officeDocument/2006/relationships/hyperlink" Target="https://www.numbeo.com/cost-of-living/in/Vancouver-WA" TargetMode="External"/><Relationship Id="rId229" Type="http://schemas.openxmlformats.org/officeDocument/2006/relationships/hyperlink" Target="https://www.numbeo.com/cost-of-living/in/Halifax" TargetMode="External"/><Relationship Id="rId380" Type="http://schemas.openxmlformats.org/officeDocument/2006/relationships/hyperlink" Target="https://www.numbeo.com/cost-of-living/in/Aguascalientes" TargetMode="External"/><Relationship Id="rId436" Type="http://schemas.openxmlformats.org/officeDocument/2006/relationships/hyperlink" Target="https://www.numbeo.com/cost-of-living/in/Krasnoyarsk" TargetMode="External"/><Relationship Id="rId240" Type="http://schemas.openxmlformats.org/officeDocument/2006/relationships/hyperlink" Target="https://www.numbeo.com/cost-of-living/in/Genoa" TargetMode="External"/><Relationship Id="rId478" Type="http://schemas.openxmlformats.org/officeDocument/2006/relationships/hyperlink" Target="https://www.numbeo.com/cost-of-living/in/Lviv" TargetMode="External"/><Relationship Id="rId35" Type="http://schemas.openxmlformats.org/officeDocument/2006/relationships/hyperlink" Target="https://www.numbeo.com/cost-of-living/in/Sydney" TargetMode="External"/><Relationship Id="rId77" Type="http://schemas.openxmlformats.org/officeDocument/2006/relationships/hyperlink" Target="https://www.numbeo.com/cost-of-living/in/Phoenix" TargetMode="External"/><Relationship Id="rId100" Type="http://schemas.openxmlformats.org/officeDocument/2006/relationships/hyperlink" Target="https://www.numbeo.com/cost-of-living/in/Lyon" TargetMode="External"/><Relationship Id="rId282" Type="http://schemas.openxmlformats.org/officeDocument/2006/relationships/hyperlink" Target="https://www.numbeo.com/cost-of-living/in/Riga" TargetMode="External"/><Relationship Id="rId338" Type="http://schemas.openxmlformats.org/officeDocument/2006/relationships/hyperlink" Target="https://www.numbeo.com/cost-of-living/in/Queretaro-Santiago-de-Queretaro-Mexico" TargetMode="External"/><Relationship Id="rId503" Type="http://schemas.openxmlformats.org/officeDocument/2006/relationships/hyperlink" Target="https://www.numbeo.com/cost-of-living/in/Chittagong" TargetMode="External"/><Relationship Id="rId8" Type="http://schemas.openxmlformats.org/officeDocument/2006/relationships/hyperlink" Target="https://www.numbeo.com/cost-of-living/in/Honolulu" TargetMode="External"/><Relationship Id="rId142" Type="http://schemas.openxmlformats.org/officeDocument/2006/relationships/hyperlink" Target="https://www.numbeo.com/cost-of-living/in/Freiburg-Im-Breisgau" TargetMode="External"/><Relationship Id="rId184" Type="http://schemas.openxmlformats.org/officeDocument/2006/relationships/hyperlink" Target="https://www.numbeo.com/cost-of-living/in/Liverpool" TargetMode="External"/><Relationship Id="rId391" Type="http://schemas.openxmlformats.org/officeDocument/2006/relationships/hyperlink" Target="https://www.numbeo.com/cost-of-living/in/Targu-Mures" TargetMode="External"/><Relationship Id="rId405" Type="http://schemas.openxmlformats.org/officeDocument/2006/relationships/hyperlink" Target="https://www.numbeo.com/cost-of-living/in/Yekaterinburg" TargetMode="External"/><Relationship Id="rId447" Type="http://schemas.openxmlformats.org/officeDocument/2006/relationships/hyperlink" Target="https://www.numbeo.com/cost-of-living/in/Novosibirsk" TargetMode="External"/><Relationship Id="rId251" Type="http://schemas.openxmlformats.org/officeDocument/2006/relationships/hyperlink" Target="https://www.numbeo.com/cost-of-living/in/Quebec-City" TargetMode="External"/><Relationship Id="rId489" Type="http://schemas.openxmlformats.org/officeDocument/2006/relationships/hyperlink" Target="https://www.numbeo.com/cost-of-living/in/Dushanbe" TargetMode="External"/><Relationship Id="rId46" Type="http://schemas.openxmlformats.org/officeDocument/2006/relationships/hyperlink" Target="https://www.numbeo.com/cost-of-living/in/Petah-Tikva" TargetMode="External"/><Relationship Id="rId293" Type="http://schemas.openxmlformats.org/officeDocument/2006/relationships/hyperlink" Target="https://www.numbeo.com/cost-of-living/in/Vilnius" TargetMode="External"/><Relationship Id="rId307" Type="http://schemas.openxmlformats.org/officeDocument/2006/relationships/hyperlink" Target="https://www.numbeo.com/cost-of-living/in/Porto" TargetMode="External"/><Relationship Id="rId349" Type="http://schemas.openxmlformats.org/officeDocument/2006/relationships/hyperlink" Target="https://www.numbeo.com/cost-of-living/in/Jeddah-Jiddah" TargetMode="External"/><Relationship Id="rId514" Type="http://schemas.openxmlformats.org/officeDocument/2006/relationships/hyperlink" Target="https://www.numbeo.com/cost-of-living/in/Ahmedabad" TargetMode="External"/><Relationship Id="rId88" Type="http://schemas.openxmlformats.org/officeDocument/2006/relationships/hyperlink" Target="https://www.numbeo.com/cost-of-living/in/Adelaide" TargetMode="External"/><Relationship Id="rId111" Type="http://schemas.openxmlformats.org/officeDocument/2006/relationships/hyperlink" Target="https://www.numbeo.com/cost-of-living/in/Fort-Worth" TargetMode="External"/><Relationship Id="rId153" Type="http://schemas.openxmlformats.org/officeDocument/2006/relationships/hyperlink" Target="https://www.numbeo.com/cost-of-living/in/Brescia" TargetMode="External"/><Relationship Id="rId195" Type="http://schemas.openxmlformats.org/officeDocument/2006/relationships/hyperlink" Target="https://www.numbeo.com/cost-of-living/in/Kassel-Germany" TargetMode="External"/><Relationship Id="rId209" Type="http://schemas.openxmlformats.org/officeDocument/2006/relationships/hyperlink" Target="https://www.numbeo.com/cost-of-living/in/Braunschweig" TargetMode="External"/><Relationship Id="rId360" Type="http://schemas.openxmlformats.org/officeDocument/2006/relationships/hyperlink" Target="https://www.numbeo.com/cost-of-living/in/Merida" TargetMode="External"/><Relationship Id="rId416" Type="http://schemas.openxmlformats.org/officeDocument/2006/relationships/hyperlink" Target="https://www.numbeo.com/cost-of-living/in/Brasilia" TargetMode="External"/><Relationship Id="rId220" Type="http://schemas.openxmlformats.org/officeDocument/2006/relationships/hyperlink" Target="https://www.numbeo.com/cost-of-living/in/Padova" TargetMode="External"/><Relationship Id="rId458" Type="http://schemas.openxmlformats.org/officeDocument/2006/relationships/hyperlink" Target="https://www.numbeo.com/cost-of-living/in/Kiev" TargetMode="External"/><Relationship Id="rId15" Type="http://schemas.openxmlformats.org/officeDocument/2006/relationships/hyperlink" Target="https://www.numbeo.com/cost-of-living/in/Bergen" TargetMode="External"/><Relationship Id="rId57" Type="http://schemas.openxmlformats.org/officeDocument/2006/relationships/hyperlink" Target="https://www.numbeo.com/cost-of-living/in/Munich" TargetMode="External"/><Relationship Id="rId262" Type="http://schemas.openxmlformats.org/officeDocument/2006/relationships/hyperlink" Target="https://www.numbeo.com/cost-of-living/in/Windsor" TargetMode="External"/><Relationship Id="rId318" Type="http://schemas.openxmlformats.org/officeDocument/2006/relationships/hyperlink" Target="https://www.numbeo.com/cost-of-living/in/Panama-City" TargetMode="External"/><Relationship Id="rId525" Type="http://schemas.openxmlformats.org/officeDocument/2006/relationships/hyperlink" Target="https://www.numbeo.com/cost-of-living/in/Bhubaneswar" TargetMode="External"/><Relationship Id="rId99" Type="http://schemas.openxmlformats.org/officeDocument/2006/relationships/hyperlink" Target="https://www.numbeo.com/cost-of-living/in/Essen" TargetMode="External"/><Relationship Id="rId122" Type="http://schemas.openxmlformats.org/officeDocument/2006/relationships/hyperlink" Target="https://www.numbeo.com/cost-of-living/in/Richmond" TargetMode="External"/><Relationship Id="rId164" Type="http://schemas.openxmlformats.org/officeDocument/2006/relationships/hyperlink" Target="https://www.numbeo.com/cost-of-living/in/Hanover" TargetMode="External"/><Relationship Id="rId371" Type="http://schemas.openxmlformats.org/officeDocument/2006/relationships/hyperlink" Target="https://www.numbeo.com/cost-of-living/in/Makati" TargetMode="External"/><Relationship Id="rId427" Type="http://schemas.openxmlformats.org/officeDocument/2006/relationships/hyperlink" Target="https://www.numbeo.com/cost-of-living/in/Colombo" TargetMode="External"/><Relationship Id="rId469" Type="http://schemas.openxmlformats.org/officeDocument/2006/relationships/hyperlink" Target="https://www.numbeo.com/cost-of-living/in/Tunis" TargetMode="External"/><Relationship Id="rId26" Type="http://schemas.openxmlformats.org/officeDocument/2006/relationships/hyperlink" Target="https://www.numbeo.com/cost-of-living/in/Jerusalem" TargetMode="External"/><Relationship Id="rId231" Type="http://schemas.openxmlformats.org/officeDocument/2006/relationships/hyperlink" Target="https://www.numbeo.com/cost-of-living/in/Nanaimo" TargetMode="External"/><Relationship Id="rId273" Type="http://schemas.openxmlformats.org/officeDocument/2006/relationships/hyperlink" Target="https://www.numbeo.com/cost-of-living/in/Bratislava" TargetMode="External"/><Relationship Id="rId329" Type="http://schemas.openxmlformats.org/officeDocument/2006/relationships/hyperlink" Target="https://www.numbeo.com/cost-of-living/in/Cluj-napoca" TargetMode="External"/><Relationship Id="rId480" Type="http://schemas.openxmlformats.org/officeDocument/2006/relationships/hyperlink" Target="https://www.numbeo.com/cost-of-living/in/Qingdao" TargetMode="External"/><Relationship Id="rId68" Type="http://schemas.openxmlformats.org/officeDocument/2006/relationships/hyperlink" Target="https://www.numbeo.com/cost-of-living/in/Dublin" TargetMode="External"/><Relationship Id="rId133" Type="http://schemas.openxmlformats.org/officeDocument/2006/relationships/hyperlink" Target="https://www.numbeo.com/cost-of-living/in/Charlotte" TargetMode="External"/><Relationship Id="rId175" Type="http://schemas.openxmlformats.org/officeDocument/2006/relationships/hyperlink" Target="https://www.numbeo.com/cost-of-living/in/Mannheim" TargetMode="External"/><Relationship Id="rId340" Type="http://schemas.openxmlformats.org/officeDocument/2006/relationships/hyperlink" Target="https://www.numbeo.com/cost-of-living/in/Istanbul" TargetMode="External"/><Relationship Id="rId200" Type="http://schemas.openxmlformats.org/officeDocument/2006/relationships/hyperlink" Target="https://www.numbeo.com/cost-of-living/in/Jacksonville" TargetMode="External"/><Relationship Id="rId382" Type="http://schemas.openxmlformats.org/officeDocument/2006/relationships/hyperlink" Target="https://www.numbeo.com/cost-of-living/in/Kuala-Lumpur" TargetMode="External"/><Relationship Id="rId438" Type="http://schemas.openxmlformats.org/officeDocument/2006/relationships/hyperlink" Target="https://www.numbeo.com/cost-of-living/in/Ufa" TargetMode="External"/><Relationship Id="rId242" Type="http://schemas.openxmlformats.org/officeDocument/2006/relationships/hyperlink" Target="https://www.numbeo.com/cost-of-living/in/Trieste" TargetMode="External"/><Relationship Id="rId284" Type="http://schemas.openxmlformats.org/officeDocument/2006/relationships/hyperlink" Target="https://www.numbeo.com/cost-of-living/in/Larnaca" TargetMode="External"/><Relationship Id="rId491" Type="http://schemas.openxmlformats.org/officeDocument/2006/relationships/hyperlink" Target="https://www.numbeo.com/cost-of-living/in/Dar-Es-Salaam" TargetMode="External"/><Relationship Id="rId505" Type="http://schemas.openxmlformats.org/officeDocument/2006/relationships/hyperlink" Target="https://www.numbeo.com/cost-of-living/in/Tehran" TargetMode="External"/><Relationship Id="rId37" Type="http://schemas.openxmlformats.org/officeDocument/2006/relationships/hyperlink" Target="https://www.numbeo.com/cost-of-living/in/Aarhus-Denmark" TargetMode="External"/><Relationship Id="rId79" Type="http://schemas.openxmlformats.org/officeDocument/2006/relationships/hyperlink" Target="https://www.numbeo.com/cost-of-living/in/The-Hague-Den-Haag-Netherlands" TargetMode="External"/><Relationship Id="rId102" Type="http://schemas.openxmlformats.org/officeDocument/2006/relationships/hyperlink" Target="https://www.numbeo.com/cost-of-living/in/Darmstadt" TargetMode="External"/><Relationship Id="rId144" Type="http://schemas.openxmlformats.org/officeDocument/2006/relationships/hyperlink" Target="https://www.numbeo.com/cost-of-living/in/Bordeaux" TargetMode="External"/><Relationship Id="rId90" Type="http://schemas.openxmlformats.org/officeDocument/2006/relationships/hyperlink" Target="https://www.numbeo.com/cost-of-living/in/Wiesbaden" TargetMode="External"/><Relationship Id="rId186" Type="http://schemas.openxmlformats.org/officeDocument/2006/relationships/hyperlink" Target="https://www.numbeo.com/cost-of-living/in/Treviso" TargetMode="External"/><Relationship Id="rId351" Type="http://schemas.openxmlformats.org/officeDocument/2006/relationships/hyperlink" Target="https://www.numbeo.com/cost-of-living/in/Katowice" TargetMode="External"/><Relationship Id="rId393" Type="http://schemas.openxmlformats.org/officeDocument/2006/relationships/hyperlink" Target="https://www.numbeo.com/cost-of-living/in/Oradea" TargetMode="External"/><Relationship Id="rId407" Type="http://schemas.openxmlformats.org/officeDocument/2006/relationships/hyperlink" Target="https://www.numbeo.com/cost-of-living/in/Suzhou" TargetMode="External"/><Relationship Id="rId449" Type="http://schemas.openxmlformats.org/officeDocument/2006/relationships/hyperlink" Target="https://www.numbeo.com/cost-of-living/in/Salvador" TargetMode="External"/><Relationship Id="rId211" Type="http://schemas.openxmlformats.org/officeDocument/2006/relationships/hyperlink" Target="https://www.numbeo.com/cost-of-living/in/Bolzano-Bozen" TargetMode="External"/><Relationship Id="rId253" Type="http://schemas.openxmlformats.org/officeDocument/2006/relationships/hyperlink" Target="https://www.numbeo.com/cost-of-living/in/Rimini" TargetMode="External"/><Relationship Id="rId295" Type="http://schemas.openxmlformats.org/officeDocument/2006/relationships/hyperlink" Target="https://www.numbeo.com/cost-of-living/in/Alicante" TargetMode="External"/><Relationship Id="rId309" Type="http://schemas.openxmlformats.org/officeDocument/2006/relationships/hyperlink" Target="https://www.numbeo.com/cost-of-living/in/Krakow-Cracow" TargetMode="External"/><Relationship Id="rId460" Type="http://schemas.openxmlformats.org/officeDocument/2006/relationships/hyperlink" Target="https://www.numbeo.com/cost-of-living/in/Lagos" TargetMode="External"/><Relationship Id="rId516" Type="http://schemas.openxmlformats.org/officeDocument/2006/relationships/hyperlink" Target="https://www.numbeo.com/cost-of-living/in/Navi-Mumbai" TargetMode="External"/><Relationship Id="rId48" Type="http://schemas.openxmlformats.org/officeDocument/2006/relationships/hyperlink" Target="https://www.numbeo.com/cost-of-living/in/Jersey-City" TargetMode="External"/><Relationship Id="rId113" Type="http://schemas.openxmlformats.org/officeDocument/2006/relationships/hyperlink" Target="https://www.numbeo.com/cost-of-living/in/Orlando" TargetMode="External"/><Relationship Id="rId320" Type="http://schemas.openxmlformats.org/officeDocument/2006/relationships/hyperlink" Target="https://www.numbeo.com/cost-of-living/in/Belgrade" TargetMode="External"/><Relationship Id="rId155" Type="http://schemas.openxmlformats.org/officeDocument/2006/relationships/hyperlink" Target="https://www.numbeo.com/cost-of-living/in/Birmingham-AL" TargetMode="External"/><Relationship Id="rId197" Type="http://schemas.openxmlformats.org/officeDocument/2006/relationships/hyperlink" Target="https://www.numbeo.com/cost-of-living/in/Kitchener" TargetMode="External"/><Relationship Id="rId362" Type="http://schemas.openxmlformats.org/officeDocument/2006/relationships/hyperlink" Target="https://www.numbeo.com/cost-of-living/in/Phuket" TargetMode="External"/><Relationship Id="rId418" Type="http://schemas.openxmlformats.org/officeDocument/2006/relationships/hyperlink" Target="https://www.numbeo.com/cost-of-living/in/Rio-De-Janeiro" TargetMode="External"/><Relationship Id="rId222" Type="http://schemas.openxmlformats.org/officeDocument/2006/relationships/hyperlink" Target="https://www.numbeo.com/cost-of-living/in/Kelowna" TargetMode="External"/><Relationship Id="rId264" Type="http://schemas.openxmlformats.org/officeDocument/2006/relationships/hyperlink" Target="https://www.numbeo.com/cost-of-living/in/Split" TargetMode="External"/><Relationship Id="rId471" Type="http://schemas.openxmlformats.org/officeDocument/2006/relationships/hyperlink" Target="https://www.numbeo.com/cost-of-living/in/Perm" TargetMode="External"/><Relationship Id="rId17" Type="http://schemas.openxmlformats.org/officeDocument/2006/relationships/hyperlink" Target="https://www.numbeo.com/cost-of-living/in/Stavanger" TargetMode="External"/><Relationship Id="rId59" Type="http://schemas.openxmlformats.org/officeDocument/2006/relationships/hyperlink" Target="https://www.numbeo.com/cost-of-living/in/Innsbruck" TargetMode="External"/><Relationship Id="rId124" Type="http://schemas.openxmlformats.org/officeDocument/2006/relationships/hyperlink" Target="https://www.numbeo.com/cost-of-living/in/Augsburg" TargetMode="External"/><Relationship Id="rId527" Type="http://schemas.openxmlformats.org/officeDocument/2006/relationships/hyperlink" Target="https://www.numbeo.com/cost-of-living/in/Jaipur" TargetMode="External"/><Relationship Id="rId70" Type="http://schemas.openxmlformats.org/officeDocument/2006/relationships/hyperlink" Target="https://www.numbeo.com/cost-of-living/in/Rotterdam" TargetMode="External"/><Relationship Id="rId166" Type="http://schemas.openxmlformats.org/officeDocument/2006/relationships/hyperlink" Target="https://www.numbeo.com/cost-of-living/in/Boise" TargetMode="External"/><Relationship Id="rId331" Type="http://schemas.openxmlformats.org/officeDocument/2006/relationships/hyperlink" Target="https://www.numbeo.com/cost-of-living/in/Cordoba" TargetMode="External"/><Relationship Id="rId373" Type="http://schemas.openxmlformats.org/officeDocument/2006/relationships/hyperlink" Target="https://www.numbeo.com/cost-of-living/in/Iasi" TargetMode="External"/><Relationship Id="rId429" Type="http://schemas.openxmlformats.org/officeDocument/2006/relationships/hyperlink" Target="https://www.numbeo.com/cost-of-living/in/Baghdad" TargetMode="External"/><Relationship Id="rId1" Type="http://schemas.openxmlformats.org/officeDocument/2006/relationships/hyperlink" Target="https://www.numbeo.com/cost-of-living/in/Zurich" TargetMode="External"/><Relationship Id="rId233" Type="http://schemas.openxmlformats.org/officeDocument/2006/relationships/hyperlink" Target="https://www.numbeo.com/cost-of-living/in/Limassol" TargetMode="External"/><Relationship Id="rId440" Type="http://schemas.openxmlformats.org/officeDocument/2006/relationships/hyperlink" Target="https://www.numbeo.com/cost-of-living/in/Chiang-Mai" TargetMode="External"/><Relationship Id="rId28" Type="http://schemas.openxmlformats.org/officeDocument/2006/relationships/hyperlink" Target="https://www.numbeo.com/cost-of-living/in/Oakland" TargetMode="External"/><Relationship Id="rId275" Type="http://schemas.openxmlformats.org/officeDocument/2006/relationships/hyperlink" Target="https://www.numbeo.com/cost-of-living/in/Palermo" TargetMode="External"/><Relationship Id="rId300" Type="http://schemas.openxmlformats.org/officeDocument/2006/relationships/hyperlink" Target="https://www.numbeo.com/cost-of-living/in/Beirut" TargetMode="External"/><Relationship Id="rId482" Type="http://schemas.openxmlformats.org/officeDocument/2006/relationships/hyperlink" Target="https://www.numbeo.com/cost-of-living/in/Pristina" TargetMode="External"/><Relationship Id="rId81" Type="http://schemas.openxmlformats.org/officeDocument/2006/relationships/hyperlink" Target="https://www.numbeo.com/cost-of-living/in/Helsinki" TargetMode="External"/><Relationship Id="rId135" Type="http://schemas.openxmlformats.org/officeDocument/2006/relationships/hyperlink" Target="https://www.numbeo.com/cost-of-living/in/Malmo" TargetMode="External"/><Relationship Id="rId177" Type="http://schemas.openxmlformats.org/officeDocument/2006/relationships/hyperlink" Target="https://www.numbeo.com/cost-of-living/in/Surrey" TargetMode="External"/><Relationship Id="rId342" Type="http://schemas.openxmlformats.org/officeDocument/2006/relationships/hyperlink" Target="https://www.numbeo.com/cost-of-living/in/Manama" TargetMode="External"/><Relationship Id="rId384" Type="http://schemas.openxmlformats.org/officeDocument/2006/relationships/hyperlink" Target="https://www.numbeo.com/cost-of-living/in/Craiova" TargetMode="External"/><Relationship Id="rId202" Type="http://schemas.openxmlformats.org/officeDocument/2006/relationships/hyperlink" Target="https://www.numbeo.com/cost-of-living/in/Knoxville" TargetMode="External"/><Relationship Id="rId244" Type="http://schemas.openxmlformats.org/officeDocument/2006/relationships/hyperlink" Target="https://www.numbeo.com/cost-of-living/in/Christchurch" TargetMode="External"/><Relationship Id="rId39" Type="http://schemas.openxmlformats.org/officeDocument/2006/relationships/hyperlink" Target="https://www.numbeo.com/cost-of-living/in/Luxembourg" TargetMode="External"/><Relationship Id="rId286" Type="http://schemas.openxmlformats.org/officeDocument/2006/relationships/hyperlink" Target="https://www.numbeo.com/cost-of-living/in/Zagreb" TargetMode="External"/><Relationship Id="rId451" Type="http://schemas.openxmlformats.org/officeDocument/2006/relationships/hyperlink" Target="https://www.numbeo.com/cost-of-living/in/Chelyabinsk" TargetMode="External"/><Relationship Id="rId493" Type="http://schemas.openxmlformats.org/officeDocument/2006/relationships/hyperlink" Target="https://www.numbeo.com/cost-of-living/in/Kigali" TargetMode="External"/><Relationship Id="rId507" Type="http://schemas.openxmlformats.org/officeDocument/2006/relationships/hyperlink" Target="https://www.numbeo.com/cost-of-living/in/Pune" TargetMode="External"/><Relationship Id="rId50" Type="http://schemas.openxmlformats.org/officeDocument/2006/relationships/hyperlink" Target="https://www.numbeo.com/cost-of-living/in/Guildford" TargetMode="External"/><Relationship Id="rId104" Type="http://schemas.openxmlformats.org/officeDocument/2006/relationships/hyperlink" Target="https://www.numbeo.com/cost-of-living/in/Heidelberg" TargetMode="External"/><Relationship Id="rId146" Type="http://schemas.openxmlformats.org/officeDocument/2006/relationships/hyperlink" Target="https://www.numbeo.com/cost-of-living/in/Ann-Arbor" TargetMode="External"/><Relationship Id="rId188" Type="http://schemas.openxmlformats.org/officeDocument/2006/relationships/hyperlink" Target="https://www.numbeo.com/cost-of-living/in/Salt-Lake-City" TargetMode="External"/><Relationship Id="rId311" Type="http://schemas.openxmlformats.org/officeDocument/2006/relationships/hyperlink" Target="https://www.numbeo.com/cost-of-living/in/Granada" TargetMode="External"/><Relationship Id="rId353" Type="http://schemas.openxmlformats.org/officeDocument/2006/relationships/hyperlink" Target="https://www.numbeo.com/cost-of-living/in/Ad-Dammam" TargetMode="External"/><Relationship Id="rId395" Type="http://schemas.openxmlformats.org/officeDocument/2006/relationships/hyperlink" Target="https://www.numbeo.com/cost-of-living/in/Beijing" TargetMode="External"/><Relationship Id="rId409" Type="http://schemas.openxmlformats.org/officeDocument/2006/relationships/hyperlink" Target="https://www.numbeo.com/cost-of-living/in/Accra" TargetMode="External"/><Relationship Id="rId92" Type="http://schemas.openxmlformats.org/officeDocument/2006/relationships/hyperlink" Target="https://www.numbeo.com/cost-of-living/in/Karlsruhe" TargetMode="External"/><Relationship Id="rId213" Type="http://schemas.openxmlformats.org/officeDocument/2006/relationships/hyperlink" Target="https://www.numbeo.com/cost-of-living/in/Cleveland" TargetMode="External"/><Relationship Id="rId420" Type="http://schemas.openxmlformats.org/officeDocument/2006/relationships/hyperlink" Target="https://www.numbeo.com/cost-of-living/in/Barranquilla" TargetMode="External"/><Relationship Id="rId255" Type="http://schemas.openxmlformats.org/officeDocument/2006/relationships/hyperlink" Target="https://www.numbeo.com/cost-of-living/in/Moncton" TargetMode="External"/><Relationship Id="rId297" Type="http://schemas.openxmlformats.org/officeDocument/2006/relationships/hyperlink" Target="https://www.numbeo.com/cost-of-living/in/Kosice" TargetMode="External"/><Relationship Id="rId462" Type="http://schemas.openxmlformats.org/officeDocument/2006/relationships/hyperlink" Target="https://www.numbeo.com/cost-of-living/in/Cali" TargetMode="External"/><Relationship Id="rId518" Type="http://schemas.openxmlformats.org/officeDocument/2006/relationships/hyperlink" Target="https://www.numbeo.com/cost-of-living/in/Chennai" TargetMode="External"/><Relationship Id="rId115" Type="http://schemas.openxmlformats.org/officeDocument/2006/relationships/hyperlink" Target="https://www.numbeo.com/cost-of-living/in/Regensburg" TargetMode="External"/><Relationship Id="rId157" Type="http://schemas.openxmlformats.org/officeDocument/2006/relationships/hyperlink" Target="https://www.numbeo.com/cost-of-living/in/Pittsburgh" TargetMode="External"/><Relationship Id="rId322" Type="http://schemas.openxmlformats.org/officeDocument/2006/relationships/hyperlink" Target="https://www.numbeo.com/cost-of-living/in/Sofia" TargetMode="External"/><Relationship Id="rId364" Type="http://schemas.openxmlformats.org/officeDocument/2006/relationships/hyperlink" Target="https://www.numbeo.com/cost-of-living/in/Izmir" TargetMode="External"/><Relationship Id="rId61" Type="http://schemas.openxmlformats.org/officeDocument/2006/relationships/hyperlink" Target="https://www.numbeo.com/cost-of-living/in/Chicago" TargetMode="External"/><Relationship Id="rId199" Type="http://schemas.openxmlformats.org/officeDocument/2006/relationships/hyperlink" Target="https://www.numbeo.com/cost-of-living/in/Lille" TargetMode="External"/><Relationship Id="rId19" Type="http://schemas.openxmlformats.org/officeDocument/2006/relationships/hyperlink" Target="https://www.numbeo.com/cost-of-living/in/San-Jose" TargetMode="External"/><Relationship Id="rId224" Type="http://schemas.openxmlformats.org/officeDocument/2006/relationships/hyperlink" Target="https://www.numbeo.com/cost-of-living/in/Albuquerque" TargetMode="External"/><Relationship Id="rId266" Type="http://schemas.openxmlformats.org/officeDocument/2006/relationships/hyperlink" Target="https://www.numbeo.com/cost-of-living/in/Tartu" TargetMode="External"/><Relationship Id="rId431" Type="http://schemas.openxmlformats.org/officeDocument/2006/relationships/hyperlink" Target="https://www.numbeo.com/cost-of-living/in/Fortaleza" TargetMode="External"/><Relationship Id="rId473" Type="http://schemas.openxmlformats.org/officeDocument/2006/relationships/hyperlink" Target="https://www.numbeo.com/cost-of-living/in/Nanjing" TargetMode="External"/><Relationship Id="rId529" Type="http://schemas.openxmlformats.org/officeDocument/2006/relationships/hyperlink" Target="https://www.numbeo.com/cost-of-living/in/Surat" TargetMode="External"/><Relationship Id="rId30" Type="http://schemas.openxmlformats.org/officeDocument/2006/relationships/hyperlink" Target="https://www.numbeo.com/cost-of-living/in/Los-Angeles" TargetMode="External"/><Relationship Id="rId126" Type="http://schemas.openxmlformats.org/officeDocument/2006/relationships/hyperlink" Target="https://www.numbeo.com/cost-of-living/in/Aberdeen" TargetMode="External"/><Relationship Id="rId168" Type="http://schemas.openxmlformats.org/officeDocument/2006/relationships/hyperlink" Target="https://www.numbeo.com/cost-of-living/in/Bournemouth" TargetMode="External"/><Relationship Id="rId333" Type="http://schemas.openxmlformats.org/officeDocument/2006/relationships/hyperlink" Target="https://www.numbeo.com/cost-of-living/in/Caracas" TargetMode="External"/><Relationship Id="rId72" Type="http://schemas.openxmlformats.org/officeDocument/2006/relationships/hyperlink" Target="https://www.numbeo.com/cost-of-living/in/Odense" TargetMode="External"/><Relationship Id="rId375" Type="http://schemas.openxmlformats.org/officeDocument/2006/relationships/hyperlink" Target="https://www.numbeo.com/cost-of-living/in/Plovdiv" TargetMode="External"/><Relationship Id="rId3" Type="http://schemas.openxmlformats.org/officeDocument/2006/relationships/hyperlink" Target="https://www.numbeo.com/cost-of-living/in/Basel" TargetMode="External"/><Relationship Id="rId235" Type="http://schemas.openxmlformats.org/officeDocument/2006/relationships/hyperlink" Target="https://www.numbeo.com/cost-of-living/in/Villach-Austria" TargetMode="External"/><Relationship Id="rId277" Type="http://schemas.openxmlformats.org/officeDocument/2006/relationships/hyperlink" Target="https://www.numbeo.com/cost-of-living/in/Bilbao" TargetMode="External"/><Relationship Id="rId400" Type="http://schemas.openxmlformats.org/officeDocument/2006/relationships/hyperlink" Target="https://www.numbeo.com/cost-of-living/in/Pattaya" TargetMode="External"/><Relationship Id="rId442" Type="http://schemas.openxmlformats.org/officeDocument/2006/relationships/hyperlink" Target="https://www.numbeo.com/cost-of-living/in/Stara-Zagora-Bulgaria" TargetMode="External"/><Relationship Id="rId484" Type="http://schemas.openxmlformats.org/officeDocument/2006/relationships/hyperlink" Target="https://www.numbeo.com/cost-of-living/in/Odesa" TargetMode="External"/><Relationship Id="rId137" Type="http://schemas.openxmlformats.org/officeDocument/2006/relationships/hyperlink" Target="https://www.numbeo.com/cost-of-living/in/Birmingham" TargetMode="External"/><Relationship Id="rId302" Type="http://schemas.openxmlformats.org/officeDocument/2006/relationships/hyperlink" Target="https://www.numbeo.com/cost-of-living/in/Monterrey" TargetMode="External"/><Relationship Id="rId344" Type="http://schemas.openxmlformats.org/officeDocument/2006/relationships/hyperlink" Target="https://www.numbeo.com/cost-of-living/in/Debrecen" TargetMode="External"/><Relationship Id="rId41" Type="http://schemas.openxmlformats.org/officeDocument/2006/relationships/hyperlink" Target="https://www.numbeo.com/cost-of-living/in/Aalborg" TargetMode="External"/><Relationship Id="rId83" Type="http://schemas.openxmlformats.org/officeDocument/2006/relationships/hyperlink" Target="https://www.numbeo.com/cost-of-living/in/Frankfurt" TargetMode="External"/><Relationship Id="rId179" Type="http://schemas.openxmlformats.org/officeDocument/2006/relationships/hyperlink" Target="https://www.numbeo.com/cost-of-living/in/Gothenburg" TargetMode="External"/><Relationship Id="rId386" Type="http://schemas.openxmlformats.org/officeDocument/2006/relationships/hyperlink" Target="https://www.numbeo.com/cost-of-living/in/Galati" TargetMode="External"/><Relationship Id="rId190" Type="http://schemas.openxmlformats.org/officeDocument/2006/relationships/hyperlink" Target="https://www.numbeo.com/cost-of-living/in/Aachen" TargetMode="External"/><Relationship Id="rId204" Type="http://schemas.openxmlformats.org/officeDocument/2006/relationships/hyperlink" Target="https://www.numbeo.com/cost-of-living/in/Tucson" TargetMode="External"/><Relationship Id="rId246" Type="http://schemas.openxmlformats.org/officeDocument/2006/relationships/hyperlink" Target="https://www.numbeo.com/cost-of-living/in/Montreal" TargetMode="External"/><Relationship Id="rId288" Type="http://schemas.openxmlformats.org/officeDocument/2006/relationships/hyperlink" Target="https://www.numbeo.com/cost-of-living/in/Abu-Dhabi" TargetMode="External"/><Relationship Id="rId411" Type="http://schemas.openxmlformats.org/officeDocument/2006/relationships/hyperlink" Target="https://www.numbeo.com/cost-of-living/in/Bali" TargetMode="External"/><Relationship Id="rId453" Type="http://schemas.openxmlformats.org/officeDocument/2006/relationships/hyperlink" Target="https://www.numbeo.com/cost-of-living/in/Tomsk" TargetMode="External"/><Relationship Id="rId509" Type="http://schemas.openxmlformats.org/officeDocument/2006/relationships/hyperlink" Target="https://www.numbeo.com/cost-of-living/in/Karachi" TargetMode="External"/><Relationship Id="rId106" Type="http://schemas.openxmlformats.org/officeDocument/2006/relationships/hyperlink" Target="https://www.numbeo.com/cost-of-living/in/Erfurt-Germany" TargetMode="External"/><Relationship Id="rId313" Type="http://schemas.openxmlformats.org/officeDocument/2006/relationships/hyperlink" Target="https://www.numbeo.com/cost-of-living/in/Gdynia" TargetMode="External"/><Relationship Id="rId495" Type="http://schemas.openxmlformats.org/officeDocument/2006/relationships/hyperlink" Target="https://www.numbeo.com/cost-of-living/in/Da-Nang" TargetMode="External"/><Relationship Id="rId10" Type="http://schemas.openxmlformats.org/officeDocument/2006/relationships/hyperlink" Target="https://www.numbeo.com/cost-of-living/in/Reykjavik" TargetMode="External"/><Relationship Id="rId52" Type="http://schemas.openxmlformats.org/officeDocument/2006/relationships/hyperlink" Target="https://www.numbeo.com/cost-of-living/in/Canberra" TargetMode="External"/><Relationship Id="rId94" Type="http://schemas.openxmlformats.org/officeDocument/2006/relationships/hyperlink" Target="https://www.numbeo.com/cost-of-living/in/Strasbourg" TargetMode="External"/><Relationship Id="rId148" Type="http://schemas.openxmlformats.org/officeDocument/2006/relationships/hyperlink" Target="https://www.numbeo.com/cost-of-living/in/Turku" TargetMode="External"/><Relationship Id="rId355" Type="http://schemas.openxmlformats.org/officeDocument/2006/relationships/hyperlink" Target="https://www.numbeo.com/cost-of-living/in/Amman" TargetMode="External"/><Relationship Id="rId397" Type="http://schemas.openxmlformats.org/officeDocument/2006/relationships/hyperlink" Target="https://www.numbeo.com/cost-of-living/in/Almaty" TargetMode="External"/><Relationship Id="rId520" Type="http://schemas.openxmlformats.org/officeDocument/2006/relationships/hyperlink" Target="https://www.numbeo.com/cost-of-living/in/Vadodara" TargetMode="External"/><Relationship Id="rId215" Type="http://schemas.openxmlformats.org/officeDocument/2006/relationships/hyperlink" Target="https://www.numbeo.com/cost-of-living/in/St-John%27s-Newfoundland-and-Labrador-Canada" TargetMode="External"/><Relationship Id="rId257" Type="http://schemas.openxmlformats.org/officeDocument/2006/relationships/hyperlink" Target="https://www.numbeo.com/cost-of-living/in/Remagen-Germany" TargetMode="External"/><Relationship Id="rId422" Type="http://schemas.openxmlformats.org/officeDocument/2006/relationships/hyperlink" Target="https://www.numbeo.com/cost-of-living/in/Lima" TargetMode="External"/><Relationship Id="rId464" Type="http://schemas.openxmlformats.org/officeDocument/2006/relationships/hyperlink" Target="https://www.numbeo.com/cost-of-living/in/Santa-Cruz-Bolivia" TargetMode="External"/><Relationship Id="rId299" Type="http://schemas.openxmlformats.org/officeDocument/2006/relationships/hyperlink" Target="https://www.numbeo.com/cost-of-living/in/Sharjah" TargetMode="External"/><Relationship Id="rId63" Type="http://schemas.openxmlformats.org/officeDocument/2006/relationships/hyperlink" Target="https://www.numbeo.com/cost-of-living/in/Denver" TargetMode="External"/><Relationship Id="rId159" Type="http://schemas.openxmlformats.org/officeDocument/2006/relationships/hyperlink" Target="https://www.numbeo.com/cost-of-living/in/Vancouver" TargetMode="External"/><Relationship Id="rId366" Type="http://schemas.openxmlformats.org/officeDocument/2006/relationships/hyperlink" Target="https://www.numbeo.com/cost-of-living/in/Santo-Domingo" TargetMode="External"/><Relationship Id="rId226" Type="http://schemas.openxmlformats.org/officeDocument/2006/relationships/hyperlink" Target="https://www.numbeo.com/cost-of-living/in/Mississauga" TargetMode="External"/><Relationship Id="rId433" Type="http://schemas.openxmlformats.org/officeDocument/2006/relationships/hyperlink" Target="https://www.numbeo.com/cost-of-living/in/Penang" TargetMode="External"/><Relationship Id="rId74" Type="http://schemas.openxmlformats.org/officeDocument/2006/relationships/hyperlink" Target="https://www.numbeo.com/cost-of-living/in/Colorado-Springs" TargetMode="External"/><Relationship Id="rId377" Type="http://schemas.openxmlformats.org/officeDocument/2006/relationships/hyperlink" Target="https://www.numbeo.com/cost-of-living/in/Johannesburg" TargetMode="External"/><Relationship Id="rId500" Type="http://schemas.openxmlformats.org/officeDocument/2006/relationships/hyperlink" Target="https://www.numbeo.com/cost-of-living/in/Bandung" TargetMode="External"/><Relationship Id="rId5" Type="http://schemas.openxmlformats.org/officeDocument/2006/relationships/hyperlink" Target="https://www.numbeo.com/cost-of-living/in/Lausanne" TargetMode="External"/><Relationship Id="rId237" Type="http://schemas.openxmlformats.org/officeDocument/2006/relationships/hyperlink" Target="https://www.numbeo.com/cost-of-living/in/London-Canada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09526E-131B-D146-A8D4-813981F61322}">
  <dimension ref="A1:A59"/>
  <sheetViews>
    <sheetView showGridLines="0" tabSelected="1" topLeftCell="A10" zoomScale="140" zoomScaleNormal="140" workbookViewId="0">
      <selection activeCell="A20" sqref="A20"/>
    </sheetView>
  </sheetViews>
  <sheetFormatPr baseColWidth="10" defaultRowHeight="16" x14ac:dyDescent="0.2"/>
  <cols>
    <col min="1" max="1" width="100" customWidth="1"/>
  </cols>
  <sheetData>
    <row r="1" spans="1:1" ht="24" customHeight="1" x14ac:dyDescent="0.3">
      <c r="A1" s="39" t="s">
        <v>600</v>
      </c>
    </row>
    <row r="2" spans="1:1" ht="16" customHeight="1" x14ac:dyDescent="0.2">
      <c r="A2" s="40" t="s">
        <v>22</v>
      </c>
    </row>
    <row r="3" spans="1:1" ht="16" customHeight="1" x14ac:dyDescent="0.2">
      <c r="A3" s="41"/>
    </row>
    <row r="4" spans="1:1" ht="16" customHeight="1" x14ac:dyDescent="0.2">
      <c r="A4" s="46" t="s">
        <v>601</v>
      </c>
    </row>
    <row r="5" spans="1:1" ht="45" customHeight="1" x14ac:dyDescent="0.2">
      <c r="A5" s="50" t="s">
        <v>602</v>
      </c>
    </row>
    <row r="6" spans="1:1" ht="16" customHeight="1" x14ac:dyDescent="0.2">
      <c r="A6" s="41"/>
    </row>
    <row r="7" spans="1:1" ht="16" customHeight="1" x14ac:dyDescent="0.2">
      <c r="A7" s="46" t="s">
        <v>603</v>
      </c>
    </row>
    <row r="8" spans="1:1" ht="16" customHeight="1" x14ac:dyDescent="0.2">
      <c r="A8" s="42" t="s">
        <v>590</v>
      </c>
    </row>
    <row r="9" spans="1:1" ht="16" customHeight="1" x14ac:dyDescent="0.2">
      <c r="A9" s="42" t="s">
        <v>617</v>
      </c>
    </row>
    <row r="10" spans="1:1" ht="30" customHeight="1" x14ac:dyDescent="0.2">
      <c r="A10" s="41" t="s">
        <v>591</v>
      </c>
    </row>
    <row r="11" spans="1:1" ht="16" customHeight="1" x14ac:dyDescent="0.2">
      <c r="A11" s="41"/>
    </row>
    <row r="12" spans="1:1" ht="16" customHeight="1" x14ac:dyDescent="0.2">
      <c r="A12" s="46" t="s">
        <v>604</v>
      </c>
    </row>
    <row r="13" spans="1:1" ht="16" customHeight="1" x14ac:dyDescent="0.2">
      <c r="A13" s="42" t="s">
        <v>43</v>
      </c>
    </row>
    <row r="14" spans="1:1" ht="16" customHeight="1" x14ac:dyDescent="0.2">
      <c r="A14" s="41" t="s">
        <v>592</v>
      </c>
    </row>
    <row r="15" spans="1:1" ht="16" customHeight="1" x14ac:dyDescent="0.2">
      <c r="A15" s="41"/>
    </row>
    <row r="16" spans="1:1" ht="16" customHeight="1" x14ac:dyDescent="0.2">
      <c r="A16" s="42" t="s">
        <v>44</v>
      </c>
    </row>
    <row r="17" spans="1:1" ht="16" customHeight="1" x14ac:dyDescent="0.2">
      <c r="A17" s="41" t="s">
        <v>593</v>
      </c>
    </row>
    <row r="18" spans="1:1" ht="16" customHeight="1" x14ac:dyDescent="0.2">
      <c r="A18" s="41"/>
    </row>
    <row r="19" spans="1:1" ht="16" customHeight="1" x14ac:dyDescent="0.2">
      <c r="A19" s="42" t="s">
        <v>588</v>
      </c>
    </row>
    <row r="20" spans="1:1" ht="16" customHeight="1" x14ac:dyDescent="0.2">
      <c r="A20" s="41" t="s">
        <v>619</v>
      </c>
    </row>
    <row r="21" spans="1:1" ht="16" customHeight="1" x14ac:dyDescent="0.2">
      <c r="A21" s="41"/>
    </row>
    <row r="22" spans="1:1" ht="16" customHeight="1" x14ac:dyDescent="0.2">
      <c r="A22" s="42" t="s">
        <v>48</v>
      </c>
    </row>
    <row r="23" spans="1:1" ht="16" customHeight="1" x14ac:dyDescent="0.2">
      <c r="A23" s="41" t="s">
        <v>594</v>
      </c>
    </row>
    <row r="24" spans="1:1" ht="16" customHeight="1" x14ac:dyDescent="0.2">
      <c r="A24" s="41"/>
    </row>
    <row r="25" spans="1:1" ht="16" customHeight="1" x14ac:dyDescent="0.2">
      <c r="A25" s="42" t="s">
        <v>4</v>
      </c>
    </row>
    <row r="26" spans="1:1" ht="16" customHeight="1" x14ac:dyDescent="0.2">
      <c r="A26" s="41" t="s">
        <v>595</v>
      </c>
    </row>
    <row r="27" spans="1:1" ht="16" customHeight="1" x14ac:dyDescent="0.2">
      <c r="A27" s="41"/>
    </row>
    <row r="28" spans="1:1" ht="16" customHeight="1" x14ac:dyDescent="0.2">
      <c r="A28" s="42" t="s">
        <v>612</v>
      </c>
    </row>
    <row r="29" spans="1:1" ht="16" customHeight="1" x14ac:dyDescent="0.2">
      <c r="A29" s="43" t="s">
        <v>618</v>
      </c>
    </row>
    <row r="30" spans="1:1" ht="16" customHeight="1" x14ac:dyDescent="0.2">
      <c r="A30" s="41"/>
    </row>
    <row r="31" spans="1:1" ht="16" customHeight="1" x14ac:dyDescent="0.2">
      <c r="A31" s="47" t="s">
        <v>605</v>
      </c>
    </row>
    <row r="32" spans="1:1" ht="16" customHeight="1" x14ac:dyDescent="0.2">
      <c r="A32" s="42" t="s">
        <v>606</v>
      </c>
    </row>
    <row r="33" spans="1:1" ht="40" customHeight="1" x14ac:dyDescent="0.2">
      <c r="A33" s="41" t="s">
        <v>607</v>
      </c>
    </row>
    <row r="34" spans="1:1" ht="16" customHeight="1" x14ac:dyDescent="0.2">
      <c r="A34" s="41"/>
    </row>
    <row r="35" spans="1:1" ht="16" customHeight="1" x14ac:dyDescent="0.2">
      <c r="A35" s="42" t="s">
        <v>610</v>
      </c>
    </row>
    <row r="36" spans="1:1" x14ac:dyDescent="0.2">
      <c r="A36" s="41" t="s">
        <v>611</v>
      </c>
    </row>
    <row r="37" spans="1:1" ht="16" customHeight="1" x14ac:dyDescent="0.2">
      <c r="A37" s="41"/>
    </row>
    <row r="38" spans="1:1" ht="16" customHeight="1" x14ac:dyDescent="0.2">
      <c r="A38" s="46" t="s">
        <v>608</v>
      </c>
    </row>
    <row r="39" spans="1:1" ht="16" customHeight="1" x14ac:dyDescent="0.2">
      <c r="A39" s="42" t="s">
        <v>596</v>
      </c>
    </row>
    <row r="40" spans="1:1" ht="16" customHeight="1" x14ac:dyDescent="0.2">
      <c r="A40" s="41"/>
    </row>
    <row r="41" spans="1:1" ht="16" customHeight="1" x14ac:dyDescent="0.2">
      <c r="A41" s="42" t="s">
        <v>597</v>
      </c>
    </row>
    <row r="42" spans="1:1" ht="16" customHeight="1" x14ac:dyDescent="0.2">
      <c r="A42" s="41"/>
    </row>
    <row r="43" spans="1:1" ht="16" customHeight="1" x14ac:dyDescent="0.2">
      <c r="A43" s="42" t="s">
        <v>598</v>
      </c>
    </row>
    <row r="44" spans="1:1" ht="16" customHeight="1" x14ac:dyDescent="0.2">
      <c r="A44" s="41"/>
    </row>
    <row r="45" spans="1:1" ht="16" customHeight="1" x14ac:dyDescent="0.2">
      <c r="A45" s="44" t="s">
        <v>599</v>
      </c>
    </row>
    <row r="46" spans="1:1" x14ac:dyDescent="0.2">
      <c r="A46" s="41"/>
    </row>
    <row r="47" spans="1:1" x14ac:dyDescent="0.2">
      <c r="A47" s="48" t="s">
        <v>39</v>
      </c>
    </row>
    <row r="48" spans="1:1" x14ac:dyDescent="0.2">
      <c r="A48" s="45" t="s">
        <v>609</v>
      </c>
    </row>
    <row r="49" spans="1:1" x14ac:dyDescent="0.2">
      <c r="A49" s="38"/>
    </row>
    <row r="50" spans="1:1" x14ac:dyDescent="0.2">
      <c r="A50" s="38"/>
    </row>
    <row r="51" spans="1:1" x14ac:dyDescent="0.2">
      <c r="A51" s="38"/>
    </row>
    <row r="52" spans="1:1" x14ac:dyDescent="0.2">
      <c r="A52" s="38"/>
    </row>
    <row r="53" spans="1:1" x14ac:dyDescent="0.2">
      <c r="A53" s="38"/>
    </row>
    <row r="54" spans="1:1" x14ac:dyDescent="0.2">
      <c r="A54" s="38"/>
    </row>
    <row r="55" spans="1:1" x14ac:dyDescent="0.2">
      <c r="A55" s="38"/>
    </row>
    <row r="56" spans="1:1" x14ac:dyDescent="0.2">
      <c r="A56" s="38"/>
    </row>
    <row r="57" spans="1:1" x14ac:dyDescent="0.2">
      <c r="A57" s="38"/>
    </row>
    <row r="58" spans="1:1" x14ac:dyDescent="0.2">
      <c r="A58" s="38"/>
    </row>
    <row r="59" spans="1:1" x14ac:dyDescent="0.2">
      <c r="A59" s="38"/>
    </row>
  </sheetData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9BC2EA-1D23-FA47-89E4-302A4B9DE7DD}">
  <dimension ref="A1:H535"/>
  <sheetViews>
    <sheetView topLeftCell="A74" zoomScale="87" workbookViewId="0">
      <selection activeCell="C13" sqref="C13"/>
    </sheetView>
  </sheetViews>
  <sheetFormatPr baseColWidth="10" defaultRowHeight="16" x14ac:dyDescent="0.2"/>
  <cols>
    <col min="1" max="1" width="8.83203125" bestFit="1" customWidth="1"/>
    <col min="2" max="2" width="41.1640625" bestFit="1" customWidth="1"/>
    <col min="3" max="3" width="27.1640625" bestFit="1" customWidth="1"/>
    <col min="4" max="4" width="16" bestFit="1" customWidth="1"/>
    <col min="5" max="5" width="39.1640625" bestFit="1" customWidth="1"/>
    <col min="6" max="6" width="21.6640625" customWidth="1"/>
    <col min="7" max="7" width="30" bestFit="1" customWidth="1"/>
    <col min="8" max="8" width="37.6640625" customWidth="1"/>
  </cols>
  <sheetData>
    <row r="1" spans="1:8" ht="19" x14ac:dyDescent="0.2">
      <c r="A1" s="10" t="s">
        <v>0</v>
      </c>
      <c r="B1" s="11" t="s">
        <v>1</v>
      </c>
      <c r="C1" s="12" t="s">
        <v>43</v>
      </c>
      <c r="D1" s="12" t="s">
        <v>44</v>
      </c>
      <c r="E1" s="12" t="s">
        <v>45</v>
      </c>
      <c r="F1" s="12" t="s">
        <v>46</v>
      </c>
      <c r="G1" s="12" t="s">
        <v>47</v>
      </c>
      <c r="H1" s="12" t="s">
        <v>48</v>
      </c>
    </row>
    <row r="2" spans="1:8" ht="20" x14ac:dyDescent="0.2">
      <c r="A2" s="9">
        <v>1</v>
      </c>
      <c r="B2" s="7" t="s">
        <v>49</v>
      </c>
      <c r="C2" s="8">
        <v>122.5</v>
      </c>
      <c r="D2" s="8">
        <v>69.599999999999994</v>
      </c>
      <c r="E2" s="8">
        <v>97.9</v>
      </c>
      <c r="F2" s="8">
        <v>123.8</v>
      </c>
      <c r="G2" s="8">
        <v>126.6</v>
      </c>
      <c r="H2" s="8">
        <v>170.1</v>
      </c>
    </row>
    <row r="3" spans="1:8" ht="20" x14ac:dyDescent="0.2">
      <c r="A3" s="9">
        <v>2</v>
      </c>
      <c r="B3" s="7" t="s">
        <v>50</v>
      </c>
      <c r="C3" s="8">
        <v>117.1</v>
      </c>
      <c r="D3" s="8">
        <v>62.8</v>
      </c>
      <c r="E3" s="8">
        <v>91.8</v>
      </c>
      <c r="F3" s="8">
        <v>114.4</v>
      </c>
      <c r="G3" s="8">
        <v>124.4</v>
      </c>
      <c r="H3" s="8">
        <v>161.6</v>
      </c>
    </row>
    <row r="4" spans="1:8" ht="20" x14ac:dyDescent="0.2">
      <c r="A4" s="9">
        <v>3</v>
      </c>
      <c r="B4" s="7" t="s">
        <v>51</v>
      </c>
      <c r="C4" s="8">
        <v>112.8</v>
      </c>
      <c r="D4" s="8">
        <v>46.2</v>
      </c>
      <c r="E4" s="8">
        <v>81.8</v>
      </c>
      <c r="F4" s="8">
        <v>112.1</v>
      </c>
      <c r="G4" s="8">
        <v>113.7</v>
      </c>
      <c r="H4" s="8">
        <v>188.7</v>
      </c>
    </row>
    <row r="5" spans="1:8" ht="20" x14ac:dyDescent="0.2">
      <c r="A5" s="9">
        <v>4</v>
      </c>
      <c r="B5" s="7" t="s">
        <v>52</v>
      </c>
      <c r="C5" s="8">
        <v>112.5</v>
      </c>
      <c r="D5" s="8">
        <v>43.2</v>
      </c>
      <c r="E5" s="8">
        <v>80.3</v>
      </c>
      <c r="F5" s="8">
        <v>108.4</v>
      </c>
      <c r="G5" s="8">
        <v>134.5</v>
      </c>
      <c r="H5" s="8">
        <v>160.69999999999999</v>
      </c>
    </row>
    <row r="6" spans="1:8" ht="20" x14ac:dyDescent="0.2">
      <c r="A6" s="9">
        <v>5</v>
      </c>
      <c r="B6" s="7" t="s">
        <v>53</v>
      </c>
      <c r="C6" s="8">
        <v>111.8</v>
      </c>
      <c r="D6" s="8">
        <v>51.5</v>
      </c>
      <c r="E6" s="8">
        <v>83.8</v>
      </c>
      <c r="F6" s="8">
        <v>109.9</v>
      </c>
      <c r="G6" s="8">
        <v>115.5</v>
      </c>
      <c r="H6" s="8">
        <v>181.5</v>
      </c>
    </row>
    <row r="7" spans="1:8" ht="20" x14ac:dyDescent="0.2">
      <c r="A7" s="9">
        <v>6</v>
      </c>
      <c r="B7" s="7" t="s">
        <v>54</v>
      </c>
      <c r="C7" s="8">
        <v>110.7</v>
      </c>
      <c r="D7" s="8">
        <v>73.8</v>
      </c>
      <c r="E7" s="8">
        <v>93.6</v>
      </c>
      <c r="F7" s="8">
        <v>116.9</v>
      </c>
      <c r="G7" s="8">
        <v>103.2</v>
      </c>
      <c r="H7" s="8">
        <v>160</v>
      </c>
    </row>
    <row r="8" spans="1:8" ht="20" x14ac:dyDescent="0.2">
      <c r="A8" s="9">
        <v>7</v>
      </c>
      <c r="B8" s="7" t="s">
        <v>55</v>
      </c>
      <c r="C8" s="8">
        <v>107.4</v>
      </c>
      <c r="D8" s="8">
        <v>42.9</v>
      </c>
      <c r="E8" s="8">
        <v>77.400000000000006</v>
      </c>
      <c r="F8" s="8">
        <v>108.3</v>
      </c>
      <c r="G8" s="8">
        <v>109.3</v>
      </c>
      <c r="H8" s="8">
        <v>182.7</v>
      </c>
    </row>
    <row r="9" spans="1:8" ht="20" x14ac:dyDescent="0.2">
      <c r="A9" s="9">
        <v>8</v>
      </c>
      <c r="B9" s="7" t="s">
        <v>56</v>
      </c>
      <c r="C9" s="8">
        <v>101.9</v>
      </c>
      <c r="D9" s="8">
        <v>60.4</v>
      </c>
      <c r="E9" s="8">
        <v>82.6</v>
      </c>
      <c r="F9" s="8">
        <v>121.2</v>
      </c>
      <c r="G9" s="8">
        <v>106</v>
      </c>
      <c r="H9" s="8">
        <v>96.8</v>
      </c>
    </row>
    <row r="10" spans="1:8" ht="20" x14ac:dyDescent="0.2">
      <c r="A10" s="9">
        <v>9</v>
      </c>
      <c r="B10" s="7" t="s">
        <v>57</v>
      </c>
      <c r="C10" s="8">
        <v>100</v>
      </c>
      <c r="D10" s="8">
        <v>100</v>
      </c>
      <c r="E10" s="8">
        <v>100</v>
      </c>
      <c r="F10" s="8">
        <v>100</v>
      </c>
      <c r="G10" s="8">
        <v>100</v>
      </c>
      <c r="H10" s="8">
        <v>100</v>
      </c>
    </row>
    <row r="11" spans="1:8" ht="20" x14ac:dyDescent="0.2">
      <c r="A11" s="9">
        <v>10</v>
      </c>
      <c r="B11" s="7" t="s">
        <v>58</v>
      </c>
      <c r="C11" s="8">
        <v>99.9</v>
      </c>
      <c r="D11" s="8">
        <v>47.2</v>
      </c>
      <c r="E11" s="8">
        <v>75.400000000000006</v>
      </c>
      <c r="F11" s="8">
        <v>107.9</v>
      </c>
      <c r="G11" s="8">
        <v>108.9</v>
      </c>
      <c r="H11" s="8">
        <v>112.9</v>
      </c>
    </row>
    <row r="12" spans="1:8" ht="20" x14ac:dyDescent="0.2">
      <c r="A12" s="9">
        <v>11</v>
      </c>
      <c r="B12" s="7" t="s">
        <v>59</v>
      </c>
      <c r="C12" s="8">
        <v>96.8</v>
      </c>
      <c r="D12" s="8">
        <v>74.900000000000006</v>
      </c>
      <c r="E12" s="8">
        <v>86.6</v>
      </c>
      <c r="F12" s="8">
        <v>104.1</v>
      </c>
      <c r="G12" s="8">
        <v>103.7</v>
      </c>
      <c r="H12" s="8">
        <v>160.9</v>
      </c>
    </row>
    <row r="13" spans="1:8" ht="20" x14ac:dyDescent="0.2">
      <c r="A13" s="9">
        <v>12</v>
      </c>
      <c r="B13" s="7" t="s">
        <v>60</v>
      </c>
      <c r="C13" s="8">
        <v>96.3</v>
      </c>
      <c r="D13" s="8">
        <v>38.799999999999997</v>
      </c>
      <c r="E13" s="8">
        <v>69.599999999999994</v>
      </c>
      <c r="F13" s="8">
        <v>96.8</v>
      </c>
      <c r="G13" s="8">
        <v>106.3</v>
      </c>
      <c r="H13" s="8">
        <v>118.3</v>
      </c>
    </row>
    <row r="14" spans="1:8" ht="20" x14ac:dyDescent="0.2">
      <c r="A14" s="9">
        <v>13</v>
      </c>
      <c r="B14" s="7" t="s">
        <v>61</v>
      </c>
      <c r="C14" s="8">
        <v>94.4</v>
      </c>
      <c r="D14" s="8">
        <v>43.7</v>
      </c>
      <c r="E14" s="8">
        <v>70.8</v>
      </c>
      <c r="F14" s="8">
        <v>84.7</v>
      </c>
      <c r="G14" s="8">
        <v>102.5</v>
      </c>
      <c r="H14" s="8">
        <v>113.1</v>
      </c>
    </row>
    <row r="15" spans="1:8" ht="20" x14ac:dyDescent="0.2">
      <c r="A15" s="9">
        <v>14</v>
      </c>
      <c r="B15" s="7" t="s">
        <v>62</v>
      </c>
      <c r="C15" s="8">
        <v>91.8</v>
      </c>
      <c r="D15" s="8">
        <v>29.3</v>
      </c>
      <c r="E15" s="8">
        <v>62.7</v>
      </c>
      <c r="F15" s="8">
        <v>95.6</v>
      </c>
      <c r="G15" s="8">
        <v>97.9</v>
      </c>
      <c r="H15" s="8">
        <v>130.5</v>
      </c>
    </row>
    <row r="16" spans="1:8" ht="20" x14ac:dyDescent="0.2">
      <c r="A16" s="9">
        <v>15</v>
      </c>
      <c r="B16" s="7" t="s">
        <v>63</v>
      </c>
      <c r="C16" s="8">
        <v>91.4</v>
      </c>
      <c r="D16" s="8">
        <v>28.5</v>
      </c>
      <c r="E16" s="8">
        <v>62.1</v>
      </c>
      <c r="F16" s="8">
        <v>92</v>
      </c>
      <c r="G16" s="8">
        <v>104.5</v>
      </c>
      <c r="H16" s="8">
        <v>131.69999999999999</v>
      </c>
    </row>
    <row r="17" spans="1:8" ht="20" x14ac:dyDescent="0.2">
      <c r="A17" s="9">
        <v>16</v>
      </c>
      <c r="B17" s="7" t="s">
        <v>64</v>
      </c>
      <c r="C17" s="8">
        <v>89.4</v>
      </c>
      <c r="D17" s="8">
        <v>65.099999999999994</v>
      </c>
      <c r="E17" s="8">
        <v>78.099999999999994</v>
      </c>
      <c r="F17" s="8">
        <v>70</v>
      </c>
      <c r="G17" s="8">
        <v>90.2</v>
      </c>
      <c r="H17" s="8">
        <v>121.8</v>
      </c>
    </row>
    <row r="18" spans="1:8" ht="20" x14ac:dyDescent="0.2">
      <c r="A18" s="9">
        <v>17</v>
      </c>
      <c r="B18" s="7" t="s">
        <v>65</v>
      </c>
      <c r="C18" s="8">
        <v>89</v>
      </c>
      <c r="D18" s="8">
        <v>35.6</v>
      </c>
      <c r="E18" s="8">
        <v>64.2</v>
      </c>
      <c r="F18" s="8">
        <v>92.6</v>
      </c>
      <c r="G18" s="8">
        <v>96</v>
      </c>
      <c r="H18" s="8">
        <v>149.6</v>
      </c>
    </row>
    <row r="19" spans="1:8" ht="20" x14ac:dyDescent="0.2">
      <c r="A19" s="9">
        <v>18</v>
      </c>
      <c r="B19" s="7" t="s">
        <v>66</v>
      </c>
      <c r="C19" s="8">
        <v>88.9</v>
      </c>
      <c r="D19" s="8">
        <v>57.3</v>
      </c>
      <c r="E19" s="8">
        <v>74.2</v>
      </c>
      <c r="F19" s="8">
        <v>96.9</v>
      </c>
      <c r="G19" s="8">
        <v>87.9</v>
      </c>
      <c r="H19" s="8">
        <v>168.7</v>
      </c>
    </row>
    <row r="20" spans="1:8" ht="20" x14ac:dyDescent="0.2">
      <c r="A20" s="9">
        <v>19</v>
      </c>
      <c r="B20" s="7" t="s">
        <v>67</v>
      </c>
      <c r="C20" s="8">
        <v>88.4</v>
      </c>
      <c r="D20" s="8">
        <v>69.5</v>
      </c>
      <c r="E20" s="8">
        <v>79.599999999999994</v>
      </c>
      <c r="F20" s="8">
        <v>87.8</v>
      </c>
      <c r="G20" s="8">
        <v>88.2</v>
      </c>
      <c r="H20" s="8">
        <v>135.4</v>
      </c>
    </row>
    <row r="21" spans="1:8" ht="20" x14ac:dyDescent="0.2">
      <c r="A21" s="9">
        <v>20</v>
      </c>
      <c r="B21" s="7" t="s">
        <v>68</v>
      </c>
      <c r="C21" s="8">
        <v>88.1</v>
      </c>
      <c r="D21" s="8">
        <v>65.5</v>
      </c>
      <c r="E21" s="8">
        <v>77.5</v>
      </c>
      <c r="F21" s="8">
        <v>89.6</v>
      </c>
      <c r="G21" s="8">
        <v>92.7</v>
      </c>
      <c r="H21" s="8">
        <v>152.1</v>
      </c>
    </row>
    <row r="22" spans="1:8" ht="20" x14ac:dyDescent="0.2">
      <c r="A22" s="9">
        <v>21</v>
      </c>
      <c r="B22" s="7" t="s">
        <v>69</v>
      </c>
      <c r="C22" s="8">
        <v>87.9</v>
      </c>
      <c r="D22" s="8">
        <v>64</v>
      </c>
      <c r="E22" s="8">
        <v>76.8</v>
      </c>
      <c r="F22" s="8">
        <v>79.7</v>
      </c>
      <c r="G22" s="8">
        <v>54</v>
      </c>
      <c r="H22" s="8">
        <v>104.5</v>
      </c>
    </row>
    <row r="23" spans="1:8" ht="20" x14ac:dyDescent="0.2">
      <c r="A23" s="9">
        <v>22</v>
      </c>
      <c r="B23" s="7" t="s">
        <v>70</v>
      </c>
      <c r="C23" s="8">
        <v>86.5</v>
      </c>
      <c r="D23" s="8">
        <v>46.1</v>
      </c>
      <c r="E23" s="8">
        <v>67.7</v>
      </c>
      <c r="F23" s="8">
        <v>101.7</v>
      </c>
      <c r="G23" s="8">
        <v>95.5</v>
      </c>
      <c r="H23" s="8">
        <v>131.19999999999999</v>
      </c>
    </row>
    <row r="24" spans="1:8" ht="20" x14ac:dyDescent="0.2">
      <c r="A24" s="9">
        <v>23</v>
      </c>
      <c r="B24" s="7" t="s">
        <v>71</v>
      </c>
      <c r="C24" s="8">
        <v>86.2</v>
      </c>
      <c r="D24" s="8">
        <v>30.8</v>
      </c>
      <c r="E24" s="8">
        <v>60.4</v>
      </c>
      <c r="F24" s="8">
        <v>84.2</v>
      </c>
      <c r="G24" s="8">
        <v>92.6</v>
      </c>
      <c r="H24" s="8">
        <v>139</v>
      </c>
    </row>
    <row r="25" spans="1:8" ht="20" x14ac:dyDescent="0.2">
      <c r="A25" s="9">
        <v>24</v>
      </c>
      <c r="B25" s="7" t="s">
        <v>72</v>
      </c>
      <c r="C25" s="8">
        <v>85.4</v>
      </c>
      <c r="D25" s="8">
        <v>71.599999999999994</v>
      </c>
      <c r="E25" s="8">
        <v>79</v>
      </c>
      <c r="F25" s="8">
        <v>89.6</v>
      </c>
      <c r="G25" s="8">
        <v>89.4</v>
      </c>
      <c r="H25" s="8">
        <v>157.80000000000001</v>
      </c>
    </row>
    <row r="26" spans="1:8" ht="20" x14ac:dyDescent="0.2">
      <c r="A26" s="9">
        <v>25</v>
      </c>
      <c r="B26" s="7" t="s">
        <v>73</v>
      </c>
      <c r="C26" s="8">
        <v>84.8</v>
      </c>
      <c r="D26" s="8">
        <v>36.1</v>
      </c>
      <c r="E26" s="8">
        <v>62.2</v>
      </c>
      <c r="F26" s="8">
        <v>89</v>
      </c>
      <c r="G26" s="8">
        <v>91.2</v>
      </c>
      <c r="H26" s="8">
        <v>144.5</v>
      </c>
    </row>
    <row r="27" spans="1:8" ht="20" x14ac:dyDescent="0.2">
      <c r="A27" s="9">
        <v>26</v>
      </c>
      <c r="B27" s="7" t="s">
        <v>74</v>
      </c>
      <c r="C27" s="8">
        <v>84.3</v>
      </c>
      <c r="D27" s="8">
        <v>38</v>
      </c>
      <c r="E27" s="8">
        <v>62.8</v>
      </c>
      <c r="F27" s="8">
        <v>76.3</v>
      </c>
      <c r="G27" s="8">
        <v>90.6</v>
      </c>
      <c r="H27" s="8">
        <v>115</v>
      </c>
    </row>
    <row r="28" spans="1:8" ht="20" x14ac:dyDescent="0.2">
      <c r="A28" s="9">
        <v>27</v>
      </c>
      <c r="B28" s="7" t="s">
        <v>75</v>
      </c>
      <c r="C28" s="8">
        <v>84</v>
      </c>
      <c r="D28" s="8">
        <v>43.1</v>
      </c>
      <c r="E28" s="8">
        <v>65</v>
      </c>
      <c r="F28" s="8">
        <v>77.5</v>
      </c>
      <c r="G28" s="8">
        <v>97.9</v>
      </c>
      <c r="H28" s="8">
        <v>146.4</v>
      </c>
    </row>
    <row r="29" spans="1:8" ht="20" x14ac:dyDescent="0.2">
      <c r="A29" s="9">
        <v>28</v>
      </c>
      <c r="B29" s="7" t="s">
        <v>76</v>
      </c>
      <c r="C29" s="8">
        <v>84</v>
      </c>
      <c r="D29" s="8">
        <v>54.2</v>
      </c>
      <c r="E29" s="8">
        <v>70.099999999999994</v>
      </c>
      <c r="F29" s="8">
        <v>94.3</v>
      </c>
      <c r="G29" s="8">
        <v>95.5</v>
      </c>
      <c r="H29" s="8">
        <v>144.19999999999999</v>
      </c>
    </row>
    <row r="30" spans="1:8" ht="20" x14ac:dyDescent="0.2">
      <c r="A30" s="9">
        <v>29</v>
      </c>
      <c r="B30" s="7" t="s">
        <v>77</v>
      </c>
      <c r="C30" s="8">
        <v>83.2</v>
      </c>
      <c r="D30" s="8">
        <v>65</v>
      </c>
      <c r="E30" s="8">
        <v>74.8</v>
      </c>
      <c r="F30" s="8">
        <v>88.4</v>
      </c>
      <c r="G30" s="8">
        <v>99.5</v>
      </c>
      <c r="H30" s="8">
        <v>108.3</v>
      </c>
    </row>
    <row r="31" spans="1:8" ht="20" x14ac:dyDescent="0.2">
      <c r="A31" s="9">
        <v>30</v>
      </c>
      <c r="B31" s="7" t="s">
        <v>78</v>
      </c>
      <c r="C31" s="8">
        <v>82.2</v>
      </c>
      <c r="D31" s="8">
        <v>67.599999999999994</v>
      </c>
      <c r="E31" s="8">
        <v>75.400000000000006</v>
      </c>
      <c r="F31" s="8">
        <v>86.3</v>
      </c>
      <c r="G31" s="8">
        <v>89.4</v>
      </c>
      <c r="H31" s="8">
        <v>103.4</v>
      </c>
    </row>
    <row r="32" spans="1:8" ht="20" x14ac:dyDescent="0.2">
      <c r="A32" s="9">
        <v>31</v>
      </c>
      <c r="B32" s="7" t="s">
        <v>79</v>
      </c>
      <c r="C32" s="8">
        <v>81</v>
      </c>
      <c r="D32" s="8">
        <v>69.5</v>
      </c>
      <c r="E32" s="8">
        <v>75.7</v>
      </c>
      <c r="F32" s="8">
        <v>80.599999999999994</v>
      </c>
      <c r="G32" s="8">
        <v>88.4</v>
      </c>
      <c r="H32" s="8">
        <v>138.4</v>
      </c>
    </row>
    <row r="33" spans="1:8" ht="20" x14ac:dyDescent="0.2">
      <c r="A33" s="9">
        <v>32</v>
      </c>
      <c r="B33" s="7" t="s">
        <v>80</v>
      </c>
      <c r="C33" s="8">
        <v>81</v>
      </c>
      <c r="D33" s="8">
        <v>22</v>
      </c>
      <c r="E33" s="8">
        <v>53.5</v>
      </c>
      <c r="F33" s="8">
        <v>78.2</v>
      </c>
      <c r="G33" s="8">
        <v>93.4</v>
      </c>
      <c r="H33" s="8">
        <v>136.80000000000001</v>
      </c>
    </row>
    <row r="34" spans="1:8" ht="20" x14ac:dyDescent="0.2">
      <c r="A34" s="9">
        <v>33</v>
      </c>
      <c r="B34" s="7" t="s">
        <v>81</v>
      </c>
      <c r="C34" s="8">
        <v>80.7</v>
      </c>
      <c r="D34" s="8">
        <v>52.4</v>
      </c>
      <c r="E34" s="8">
        <v>67.5</v>
      </c>
      <c r="F34" s="8">
        <v>74.7</v>
      </c>
      <c r="G34" s="8">
        <v>83.4</v>
      </c>
      <c r="H34" s="8">
        <v>144.5</v>
      </c>
    </row>
    <row r="35" spans="1:8" ht="20" x14ac:dyDescent="0.2">
      <c r="A35" s="9">
        <v>34</v>
      </c>
      <c r="B35" s="7" t="s">
        <v>82</v>
      </c>
      <c r="C35" s="8">
        <v>80.599999999999994</v>
      </c>
      <c r="D35" s="8">
        <v>59.1</v>
      </c>
      <c r="E35" s="8">
        <v>70.599999999999994</v>
      </c>
      <c r="F35" s="8">
        <v>90</v>
      </c>
      <c r="G35" s="8">
        <v>83.8</v>
      </c>
      <c r="H35" s="8">
        <v>173.7</v>
      </c>
    </row>
    <row r="36" spans="1:8" ht="20" x14ac:dyDescent="0.2">
      <c r="A36" s="9">
        <v>35</v>
      </c>
      <c r="B36" s="7" t="s">
        <v>83</v>
      </c>
      <c r="C36" s="8">
        <v>80</v>
      </c>
      <c r="D36" s="8">
        <v>54.6</v>
      </c>
      <c r="E36" s="8">
        <v>68.2</v>
      </c>
      <c r="F36" s="8">
        <v>85.4</v>
      </c>
      <c r="G36" s="8">
        <v>76.5</v>
      </c>
      <c r="H36" s="8">
        <v>117.7</v>
      </c>
    </row>
    <row r="37" spans="1:8" ht="20" x14ac:dyDescent="0.2">
      <c r="A37" s="9">
        <v>36</v>
      </c>
      <c r="B37" s="7" t="s">
        <v>84</v>
      </c>
      <c r="C37" s="8">
        <v>79.8</v>
      </c>
      <c r="D37" s="8">
        <v>34</v>
      </c>
      <c r="E37" s="8">
        <v>58.5</v>
      </c>
      <c r="F37" s="8">
        <v>75.099999999999994</v>
      </c>
      <c r="G37" s="8">
        <v>81</v>
      </c>
      <c r="H37" s="8">
        <v>128.19999999999999</v>
      </c>
    </row>
    <row r="38" spans="1:8" ht="20" x14ac:dyDescent="0.2">
      <c r="A38" s="9">
        <v>37</v>
      </c>
      <c r="B38" s="7" t="s">
        <v>85</v>
      </c>
      <c r="C38" s="8">
        <v>79.599999999999994</v>
      </c>
      <c r="D38" s="8">
        <v>29.1</v>
      </c>
      <c r="E38" s="8">
        <v>56.1</v>
      </c>
      <c r="F38" s="8">
        <v>73.400000000000006</v>
      </c>
      <c r="G38" s="8">
        <v>94.8</v>
      </c>
      <c r="H38" s="8">
        <v>153.19999999999999</v>
      </c>
    </row>
    <row r="39" spans="1:8" ht="20" x14ac:dyDescent="0.2">
      <c r="A39" s="9">
        <v>38</v>
      </c>
      <c r="B39" s="7" t="s">
        <v>86</v>
      </c>
      <c r="C39" s="8">
        <v>79.5</v>
      </c>
      <c r="D39" s="8">
        <v>64.7</v>
      </c>
      <c r="E39" s="8">
        <v>72.599999999999994</v>
      </c>
      <c r="F39" s="8">
        <v>84.3</v>
      </c>
      <c r="G39" s="8">
        <v>86.1</v>
      </c>
      <c r="H39" s="8">
        <v>153.5</v>
      </c>
    </row>
    <row r="40" spans="1:8" ht="20" x14ac:dyDescent="0.2">
      <c r="A40" s="9">
        <v>39</v>
      </c>
      <c r="B40" s="7" t="s">
        <v>87</v>
      </c>
      <c r="C40" s="8">
        <v>79.3</v>
      </c>
      <c r="D40" s="8">
        <v>50.4</v>
      </c>
      <c r="E40" s="8">
        <v>65.8</v>
      </c>
      <c r="F40" s="8">
        <v>77.599999999999994</v>
      </c>
      <c r="G40" s="8">
        <v>88.1</v>
      </c>
      <c r="H40" s="8">
        <v>157.6</v>
      </c>
    </row>
    <row r="41" spans="1:8" ht="20" x14ac:dyDescent="0.2">
      <c r="A41" s="9">
        <v>40</v>
      </c>
      <c r="B41" s="7" t="s">
        <v>88</v>
      </c>
      <c r="C41" s="8">
        <v>79</v>
      </c>
      <c r="D41" s="8">
        <v>57.2</v>
      </c>
      <c r="E41" s="8">
        <v>68.900000000000006</v>
      </c>
      <c r="F41" s="8">
        <v>84.2</v>
      </c>
      <c r="G41" s="8">
        <v>93.5</v>
      </c>
      <c r="H41" s="8">
        <v>125.3</v>
      </c>
    </row>
    <row r="42" spans="1:8" ht="20" x14ac:dyDescent="0.2">
      <c r="A42" s="9">
        <v>41</v>
      </c>
      <c r="B42" s="7" t="s">
        <v>89</v>
      </c>
      <c r="C42" s="8">
        <v>79</v>
      </c>
      <c r="D42" s="8">
        <v>20.6</v>
      </c>
      <c r="E42" s="8">
        <v>51.8</v>
      </c>
      <c r="F42" s="8">
        <v>78.5</v>
      </c>
      <c r="G42" s="8">
        <v>91.3</v>
      </c>
      <c r="H42" s="8">
        <v>170.1</v>
      </c>
    </row>
    <row r="43" spans="1:8" ht="20" x14ac:dyDescent="0.2">
      <c r="A43" s="9">
        <v>42</v>
      </c>
      <c r="B43" s="7" t="s">
        <v>90</v>
      </c>
      <c r="C43" s="8">
        <v>78.8</v>
      </c>
      <c r="D43" s="8">
        <v>44.2</v>
      </c>
      <c r="E43" s="8">
        <v>62.7</v>
      </c>
      <c r="F43" s="8">
        <v>85.8</v>
      </c>
      <c r="G43" s="8">
        <v>74.7</v>
      </c>
      <c r="H43" s="8">
        <v>142.69999999999999</v>
      </c>
    </row>
    <row r="44" spans="1:8" ht="20" x14ac:dyDescent="0.2">
      <c r="A44" s="9">
        <v>43</v>
      </c>
      <c r="B44" s="7" t="s">
        <v>91</v>
      </c>
      <c r="C44" s="8">
        <v>78.7</v>
      </c>
      <c r="D44" s="8">
        <v>40.4</v>
      </c>
      <c r="E44" s="8">
        <v>60.9</v>
      </c>
      <c r="F44" s="8">
        <v>70.8</v>
      </c>
      <c r="G44" s="8">
        <v>92.1</v>
      </c>
      <c r="H44" s="8">
        <v>122.7</v>
      </c>
    </row>
    <row r="45" spans="1:8" ht="20" x14ac:dyDescent="0.2">
      <c r="A45" s="9">
        <v>44</v>
      </c>
      <c r="B45" s="7" t="s">
        <v>92</v>
      </c>
      <c r="C45" s="8">
        <v>78.5</v>
      </c>
      <c r="D45" s="8">
        <v>41.6</v>
      </c>
      <c r="E45" s="8">
        <v>61.3</v>
      </c>
      <c r="F45" s="8">
        <v>85.4</v>
      </c>
      <c r="G45" s="8">
        <v>73.599999999999994</v>
      </c>
      <c r="H45" s="8">
        <v>139.80000000000001</v>
      </c>
    </row>
    <row r="46" spans="1:8" ht="20" x14ac:dyDescent="0.2">
      <c r="A46" s="9">
        <v>45</v>
      </c>
      <c r="B46" s="7" t="s">
        <v>93</v>
      </c>
      <c r="C46" s="8">
        <v>78.099999999999994</v>
      </c>
      <c r="D46" s="8">
        <v>38.9</v>
      </c>
      <c r="E46" s="8">
        <v>59.9</v>
      </c>
      <c r="F46" s="8">
        <v>78.3</v>
      </c>
      <c r="G46" s="8">
        <v>74.3</v>
      </c>
      <c r="H46" s="8">
        <v>125.7</v>
      </c>
    </row>
    <row r="47" spans="1:8" ht="20" x14ac:dyDescent="0.2">
      <c r="A47" s="9">
        <v>46</v>
      </c>
      <c r="B47" s="7" t="s">
        <v>94</v>
      </c>
      <c r="C47" s="8">
        <v>78</v>
      </c>
      <c r="D47" s="8">
        <v>27.4</v>
      </c>
      <c r="E47" s="8">
        <v>54.5</v>
      </c>
      <c r="F47" s="8">
        <v>73.7</v>
      </c>
      <c r="G47" s="8">
        <v>93.1</v>
      </c>
      <c r="H47" s="8">
        <v>131.69999999999999</v>
      </c>
    </row>
    <row r="48" spans="1:8" ht="20" x14ac:dyDescent="0.2">
      <c r="A48" s="9">
        <v>47</v>
      </c>
      <c r="B48" s="7" t="s">
        <v>95</v>
      </c>
      <c r="C48" s="8">
        <v>78</v>
      </c>
      <c r="D48" s="8">
        <v>36.700000000000003</v>
      </c>
      <c r="E48" s="8">
        <v>58.8</v>
      </c>
      <c r="F48" s="8">
        <v>78.900000000000006</v>
      </c>
      <c r="G48" s="8">
        <v>99.6</v>
      </c>
      <c r="H48" s="8">
        <v>131.69999999999999</v>
      </c>
    </row>
    <row r="49" spans="1:8" ht="20" x14ac:dyDescent="0.2">
      <c r="A49" s="9">
        <v>48</v>
      </c>
      <c r="B49" s="7" t="s">
        <v>96</v>
      </c>
      <c r="C49" s="8">
        <v>77.3</v>
      </c>
      <c r="D49" s="8">
        <v>67.2</v>
      </c>
      <c r="E49" s="8">
        <v>72.599999999999994</v>
      </c>
      <c r="F49" s="8">
        <v>81.8</v>
      </c>
      <c r="G49" s="8">
        <v>82.5</v>
      </c>
      <c r="H49" s="8">
        <v>158.1</v>
      </c>
    </row>
    <row r="50" spans="1:8" ht="20" x14ac:dyDescent="0.2">
      <c r="A50" s="9">
        <v>49</v>
      </c>
      <c r="B50" s="7" t="s">
        <v>97</v>
      </c>
      <c r="C50" s="8">
        <v>77.3</v>
      </c>
      <c r="D50" s="8">
        <v>45.7</v>
      </c>
      <c r="E50" s="8">
        <v>62.6</v>
      </c>
      <c r="F50" s="8">
        <v>84.9</v>
      </c>
      <c r="G50" s="8">
        <v>79.5</v>
      </c>
      <c r="H50" s="8">
        <v>144</v>
      </c>
    </row>
    <row r="51" spans="1:8" ht="20" x14ac:dyDescent="0.2">
      <c r="A51" s="9">
        <v>50</v>
      </c>
      <c r="B51" s="7" t="s">
        <v>98</v>
      </c>
      <c r="C51" s="8">
        <v>77.099999999999994</v>
      </c>
      <c r="D51" s="8">
        <v>39.799999999999997</v>
      </c>
      <c r="E51" s="8">
        <v>59.7</v>
      </c>
      <c r="F51" s="8">
        <v>71</v>
      </c>
      <c r="G51" s="8">
        <v>86</v>
      </c>
      <c r="H51" s="8">
        <v>120.6</v>
      </c>
    </row>
    <row r="52" spans="1:8" ht="20" x14ac:dyDescent="0.2">
      <c r="A52" s="9">
        <v>51</v>
      </c>
      <c r="B52" s="7" t="s">
        <v>99</v>
      </c>
      <c r="C52" s="8">
        <v>77</v>
      </c>
      <c r="D52" s="8">
        <v>15.2</v>
      </c>
      <c r="E52" s="8">
        <v>48.3</v>
      </c>
      <c r="F52" s="8">
        <v>75.2</v>
      </c>
      <c r="G52" s="8">
        <v>87.4</v>
      </c>
      <c r="H52" s="8">
        <v>134.4</v>
      </c>
    </row>
    <row r="53" spans="1:8" ht="20" x14ac:dyDescent="0.2">
      <c r="A53" s="9">
        <v>52</v>
      </c>
      <c r="B53" s="7" t="s">
        <v>100</v>
      </c>
      <c r="C53" s="8">
        <v>76.3</v>
      </c>
      <c r="D53" s="8">
        <v>37.700000000000003</v>
      </c>
      <c r="E53" s="8">
        <v>58.4</v>
      </c>
      <c r="F53" s="8">
        <v>85.4</v>
      </c>
      <c r="G53" s="8">
        <v>70</v>
      </c>
      <c r="H53" s="8">
        <v>136.80000000000001</v>
      </c>
    </row>
    <row r="54" spans="1:8" ht="20" x14ac:dyDescent="0.2">
      <c r="A54" s="9">
        <v>53</v>
      </c>
      <c r="B54" s="7" t="s">
        <v>101</v>
      </c>
      <c r="C54" s="8">
        <v>76.3</v>
      </c>
      <c r="D54" s="8">
        <v>41.3</v>
      </c>
      <c r="E54" s="8">
        <v>60</v>
      </c>
      <c r="F54" s="8">
        <v>69.099999999999994</v>
      </c>
      <c r="G54" s="8">
        <v>76</v>
      </c>
      <c r="H54" s="8">
        <v>147.5</v>
      </c>
    </row>
    <row r="55" spans="1:8" ht="20" x14ac:dyDescent="0.2">
      <c r="A55" s="9">
        <v>54</v>
      </c>
      <c r="B55" s="7" t="s">
        <v>102</v>
      </c>
      <c r="C55" s="8">
        <v>76.2</v>
      </c>
      <c r="D55" s="8">
        <v>40.4</v>
      </c>
      <c r="E55" s="8">
        <v>59.5</v>
      </c>
      <c r="F55" s="8">
        <v>86.7</v>
      </c>
      <c r="G55" s="8">
        <v>70.599999999999994</v>
      </c>
      <c r="H55" s="8">
        <v>140.69999999999999</v>
      </c>
    </row>
    <row r="56" spans="1:8" ht="20" x14ac:dyDescent="0.2">
      <c r="A56" s="9">
        <v>55</v>
      </c>
      <c r="B56" s="7" t="s">
        <v>103</v>
      </c>
      <c r="C56" s="8">
        <v>76.2</v>
      </c>
      <c r="D56" s="8">
        <v>33.700000000000003</v>
      </c>
      <c r="E56" s="8">
        <v>56.4</v>
      </c>
      <c r="F56" s="8">
        <v>78.400000000000006</v>
      </c>
      <c r="G56" s="8">
        <v>75.2</v>
      </c>
      <c r="H56" s="8">
        <v>106.6</v>
      </c>
    </row>
    <row r="57" spans="1:8" ht="20" x14ac:dyDescent="0.2">
      <c r="A57" s="9">
        <v>56</v>
      </c>
      <c r="B57" s="7" t="s">
        <v>104</v>
      </c>
      <c r="C57" s="8">
        <v>76</v>
      </c>
      <c r="D57" s="8">
        <v>22.8</v>
      </c>
      <c r="E57" s="8">
        <v>51.3</v>
      </c>
      <c r="F57" s="8">
        <v>86.8</v>
      </c>
      <c r="G57" s="8">
        <v>69.900000000000006</v>
      </c>
      <c r="H57" s="8">
        <v>67.400000000000006</v>
      </c>
    </row>
    <row r="58" spans="1:8" ht="20" x14ac:dyDescent="0.2">
      <c r="A58" s="9">
        <v>57</v>
      </c>
      <c r="B58" s="7" t="s">
        <v>105</v>
      </c>
      <c r="C58" s="8">
        <v>75.900000000000006</v>
      </c>
      <c r="D58" s="8">
        <v>39.700000000000003</v>
      </c>
      <c r="E58" s="8">
        <v>59.1</v>
      </c>
      <c r="F58" s="8">
        <v>64.7</v>
      </c>
      <c r="G58" s="8">
        <v>78.400000000000006</v>
      </c>
      <c r="H58" s="8">
        <v>153.9</v>
      </c>
    </row>
    <row r="59" spans="1:8" ht="20" x14ac:dyDescent="0.2">
      <c r="A59" s="9">
        <v>58</v>
      </c>
      <c r="B59" s="7" t="s">
        <v>106</v>
      </c>
      <c r="C59" s="8">
        <v>75.8</v>
      </c>
      <c r="D59" s="8">
        <v>38.299999999999997</v>
      </c>
      <c r="E59" s="8">
        <v>58.3</v>
      </c>
      <c r="F59" s="8">
        <v>82.3</v>
      </c>
      <c r="G59" s="8">
        <v>82.8</v>
      </c>
      <c r="H59" s="8">
        <v>145.19999999999999</v>
      </c>
    </row>
    <row r="60" spans="1:8" ht="20" x14ac:dyDescent="0.2">
      <c r="A60" s="9">
        <v>59</v>
      </c>
      <c r="B60" s="7" t="s">
        <v>107</v>
      </c>
      <c r="C60" s="8">
        <v>75.7</v>
      </c>
      <c r="D60" s="8">
        <v>31.6</v>
      </c>
      <c r="E60" s="8">
        <v>55.2</v>
      </c>
      <c r="F60" s="8">
        <v>71.2</v>
      </c>
      <c r="G60" s="8">
        <v>73.3</v>
      </c>
      <c r="H60" s="8">
        <v>102.3</v>
      </c>
    </row>
    <row r="61" spans="1:8" ht="20" x14ac:dyDescent="0.2">
      <c r="A61" s="9">
        <v>60</v>
      </c>
      <c r="B61" s="7" t="s">
        <v>108</v>
      </c>
      <c r="C61" s="8">
        <v>75.599999999999994</v>
      </c>
      <c r="D61" s="8">
        <v>44.5</v>
      </c>
      <c r="E61" s="8">
        <v>61.2</v>
      </c>
      <c r="F61" s="8">
        <v>67.099999999999994</v>
      </c>
      <c r="G61" s="8">
        <v>89.1</v>
      </c>
      <c r="H61" s="8">
        <v>125.7</v>
      </c>
    </row>
    <row r="62" spans="1:8" ht="20" x14ac:dyDescent="0.2">
      <c r="A62" s="9">
        <v>61</v>
      </c>
      <c r="B62" s="7" t="s">
        <v>109</v>
      </c>
      <c r="C62" s="8">
        <v>75.599999999999994</v>
      </c>
      <c r="D62" s="8">
        <v>52.2</v>
      </c>
      <c r="E62" s="8">
        <v>64.7</v>
      </c>
      <c r="F62" s="8">
        <v>82.5</v>
      </c>
      <c r="G62" s="8">
        <v>82.2</v>
      </c>
      <c r="H62" s="8">
        <v>143.30000000000001</v>
      </c>
    </row>
    <row r="63" spans="1:8" ht="20" x14ac:dyDescent="0.2">
      <c r="A63" s="9">
        <v>62</v>
      </c>
      <c r="B63" s="7" t="s">
        <v>110</v>
      </c>
      <c r="C63" s="8">
        <v>75.599999999999994</v>
      </c>
      <c r="D63" s="8">
        <v>37.200000000000003</v>
      </c>
      <c r="E63" s="8">
        <v>57.7</v>
      </c>
      <c r="F63" s="8">
        <v>82.8</v>
      </c>
      <c r="G63" s="8">
        <v>87</v>
      </c>
      <c r="H63" s="8">
        <v>136.19999999999999</v>
      </c>
    </row>
    <row r="64" spans="1:8" ht="20" x14ac:dyDescent="0.2">
      <c r="A64" s="9">
        <v>63</v>
      </c>
      <c r="B64" s="7" t="s">
        <v>111</v>
      </c>
      <c r="C64" s="8">
        <v>75.5</v>
      </c>
      <c r="D64" s="8">
        <v>44.1</v>
      </c>
      <c r="E64" s="8">
        <v>60.9</v>
      </c>
      <c r="F64" s="8">
        <v>82.7</v>
      </c>
      <c r="G64" s="8">
        <v>74.8</v>
      </c>
      <c r="H64" s="8">
        <v>156.5</v>
      </c>
    </row>
    <row r="65" spans="1:8" ht="20" x14ac:dyDescent="0.2">
      <c r="A65" s="9">
        <v>64</v>
      </c>
      <c r="B65" s="7" t="s">
        <v>112</v>
      </c>
      <c r="C65" s="8">
        <v>75.400000000000006</v>
      </c>
      <c r="D65" s="8">
        <v>27.3</v>
      </c>
      <c r="E65" s="8">
        <v>53</v>
      </c>
      <c r="F65" s="8">
        <v>83</v>
      </c>
      <c r="G65" s="8">
        <v>79.2</v>
      </c>
      <c r="H65" s="8">
        <v>100.7</v>
      </c>
    </row>
    <row r="66" spans="1:8" ht="20" x14ac:dyDescent="0.2">
      <c r="A66" s="9">
        <v>65</v>
      </c>
      <c r="B66" s="7" t="s">
        <v>113</v>
      </c>
      <c r="C66" s="8">
        <v>75.099999999999994</v>
      </c>
      <c r="D66" s="8">
        <v>27.6</v>
      </c>
      <c r="E66" s="8">
        <v>53</v>
      </c>
      <c r="F66" s="8">
        <v>74.5</v>
      </c>
      <c r="G66" s="8">
        <v>84.2</v>
      </c>
      <c r="H66" s="8">
        <v>118.8</v>
      </c>
    </row>
    <row r="67" spans="1:8" ht="20" x14ac:dyDescent="0.2">
      <c r="A67" s="9">
        <v>66</v>
      </c>
      <c r="B67" s="7" t="s">
        <v>114</v>
      </c>
      <c r="C67" s="8">
        <v>75</v>
      </c>
      <c r="D67" s="8">
        <v>41.2</v>
      </c>
      <c r="E67" s="8">
        <v>59.3</v>
      </c>
      <c r="F67" s="8">
        <v>83.1</v>
      </c>
      <c r="G67" s="8">
        <v>83.8</v>
      </c>
      <c r="H67" s="8">
        <v>175.7</v>
      </c>
    </row>
    <row r="68" spans="1:8" ht="20" x14ac:dyDescent="0.2">
      <c r="A68" s="9">
        <v>67</v>
      </c>
      <c r="B68" s="7" t="s">
        <v>115</v>
      </c>
      <c r="C68" s="8">
        <v>74.900000000000006</v>
      </c>
      <c r="D68" s="8">
        <v>38.6</v>
      </c>
      <c r="E68" s="8">
        <v>58</v>
      </c>
      <c r="F68" s="8">
        <v>74.8</v>
      </c>
      <c r="G68" s="8">
        <v>77.900000000000006</v>
      </c>
      <c r="H68" s="8">
        <v>74.599999999999994</v>
      </c>
    </row>
    <row r="69" spans="1:8" ht="20" x14ac:dyDescent="0.2">
      <c r="A69" s="9">
        <v>68</v>
      </c>
      <c r="B69" s="7" t="s">
        <v>116</v>
      </c>
      <c r="C69" s="8">
        <v>74.900000000000006</v>
      </c>
      <c r="D69" s="8">
        <v>55.7</v>
      </c>
      <c r="E69" s="8">
        <v>66</v>
      </c>
      <c r="F69" s="8">
        <v>70.7</v>
      </c>
      <c r="G69" s="8">
        <v>85.3</v>
      </c>
      <c r="H69" s="8">
        <v>129.4</v>
      </c>
    </row>
    <row r="70" spans="1:8" ht="20" x14ac:dyDescent="0.2">
      <c r="A70" s="9">
        <v>69</v>
      </c>
      <c r="B70" s="7" t="s">
        <v>117</v>
      </c>
      <c r="C70" s="8">
        <v>74.8</v>
      </c>
      <c r="D70" s="8">
        <v>42.8</v>
      </c>
      <c r="E70" s="8">
        <v>59.9</v>
      </c>
      <c r="F70" s="8">
        <v>76.599999999999994</v>
      </c>
      <c r="G70" s="8">
        <v>77.3</v>
      </c>
      <c r="H70" s="8">
        <v>143.80000000000001</v>
      </c>
    </row>
    <row r="71" spans="1:8" ht="20" x14ac:dyDescent="0.2">
      <c r="A71" s="9">
        <v>70</v>
      </c>
      <c r="B71" s="7" t="s">
        <v>118</v>
      </c>
      <c r="C71" s="8">
        <v>74.599999999999994</v>
      </c>
      <c r="D71" s="8">
        <v>39.9</v>
      </c>
      <c r="E71" s="8">
        <v>58.5</v>
      </c>
      <c r="F71" s="8">
        <v>69</v>
      </c>
      <c r="G71" s="8">
        <v>81.099999999999994</v>
      </c>
      <c r="H71" s="8">
        <v>131.1</v>
      </c>
    </row>
    <row r="72" spans="1:8" ht="20" x14ac:dyDescent="0.2">
      <c r="A72" s="9">
        <v>71</v>
      </c>
      <c r="B72" s="7" t="s">
        <v>119</v>
      </c>
      <c r="C72" s="8">
        <v>74.5</v>
      </c>
      <c r="D72" s="8">
        <v>39.1</v>
      </c>
      <c r="E72" s="8">
        <v>58</v>
      </c>
      <c r="F72" s="8">
        <v>69.599999999999994</v>
      </c>
      <c r="G72" s="8">
        <v>79.2</v>
      </c>
      <c r="H72" s="8">
        <v>116.7</v>
      </c>
    </row>
    <row r="73" spans="1:8" ht="20" x14ac:dyDescent="0.2">
      <c r="A73" s="9">
        <v>72</v>
      </c>
      <c r="B73" s="7" t="s">
        <v>120</v>
      </c>
      <c r="C73" s="8">
        <v>74.400000000000006</v>
      </c>
      <c r="D73" s="8">
        <v>20.9</v>
      </c>
      <c r="E73" s="8">
        <v>49.5</v>
      </c>
      <c r="F73" s="8">
        <v>71.2</v>
      </c>
      <c r="G73" s="8">
        <v>99.7</v>
      </c>
      <c r="H73" s="8">
        <v>171.6</v>
      </c>
    </row>
    <row r="74" spans="1:8" ht="20" x14ac:dyDescent="0.2">
      <c r="A74" s="9">
        <v>73</v>
      </c>
      <c r="B74" s="7" t="s">
        <v>121</v>
      </c>
      <c r="C74" s="8">
        <v>74.400000000000006</v>
      </c>
      <c r="D74" s="8">
        <v>27.2</v>
      </c>
      <c r="E74" s="8">
        <v>52.5</v>
      </c>
      <c r="F74" s="8">
        <v>73.400000000000006</v>
      </c>
      <c r="G74" s="8">
        <v>79.599999999999994</v>
      </c>
      <c r="H74" s="8">
        <v>134.5</v>
      </c>
    </row>
    <row r="75" spans="1:8" ht="20" x14ac:dyDescent="0.2">
      <c r="A75" s="9">
        <v>74</v>
      </c>
      <c r="B75" s="7" t="s">
        <v>122</v>
      </c>
      <c r="C75" s="8">
        <v>74.099999999999994</v>
      </c>
      <c r="D75" s="8">
        <v>37.299999999999997</v>
      </c>
      <c r="E75" s="8">
        <v>57</v>
      </c>
      <c r="F75" s="8">
        <v>80.2</v>
      </c>
      <c r="G75" s="8">
        <v>75.400000000000006</v>
      </c>
      <c r="H75" s="8">
        <v>144.1</v>
      </c>
    </row>
    <row r="76" spans="1:8" ht="20" x14ac:dyDescent="0.2">
      <c r="A76" s="9">
        <v>75</v>
      </c>
      <c r="B76" s="7" t="s">
        <v>123</v>
      </c>
      <c r="C76" s="8">
        <v>74.099999999999994</v>
      </c>
      <c r="D76" s="8">
        <v>36.6</v>
      </c>
      <c r="E76" s="8">
        <v>56.7</v>
      </c>
      <c r="F76" s="8">
        <v>70.099999999999994</v>
      </c>
      <c r="G76" s="8">
        <v>86.1</v>
      </c>
      <c r="H76" s="8">
        <v>125</v>
      </c>
    </row>
    <row r="77" spans="1:8" ht="20" x14ac:dyDescent="0.2">
      <c r="A77" s="9">
        <v>76</v>
      </c>
      <c r="B77" s="7" t="s">
        <v>124</v>
      </c>
      <c r="C77" s="8">
        <v>74.099999999999994</v>
      </c>
      <c r="D77" s="8">
        <v>43.4</v>
      </c>
      <c r="E77" s="8">
        <v>59.8</v>
      </c>
      <c r="F77" s="8">
        <v>66.7</v>
      </c>
      <c r="G77" s="8">
        <v>79.2</v>
      </c>
      <c r="H77" s="8">
        <v>133.4</v>
      </c>
    </row>
    <row r="78" spans="1:8" ht="20" x14ac:dyDescent="0.2">
      <c r="A78" s="9">
        <v>77</v>
      </c>
      <c r="B78" s="7" t="s">
        <v>125</v>
      </c>
      <c r="C78" s="8">
        <v>73.900000000000006</v>
      </c>
      <c r="D78" s="8">
        <v>38.5</v>
      </c>
      <c r="E78" s="8">
        <v>57.5</v>
      </c>
      <c r="F78" s="8">
        <v>79.3</v>
      </c>
      <c r="G78" s="8">
        <v>79.5</v>
      </c>
      <c r="H78" s="8">
        <v>138.6</v>
      </c>
    </row>
    <row r="79" spans="1:8" ht="20" x14ac:dyDescent="0.2">
      <c r="A79" s="9">
        <v>78</v>
      </c>
      <c r="B79" s="7" t="s">
        <v>126</v>
      </c>
      <c r="C79" s="8">
        <v>73.7</v>
      </c>
      <c r="D79" s="8">
        <v>36.200000000000003</v>
      </c>
      <c r="E79" s="8">
        <v>56.3</v>
      </c>
      <c r="F79" s="8">
        <v>85.4</v>
      </c>
      <c r="G79" s="8">
        <v>77.3</v>
      </c>
      <c r="H79" s="8">
        <v>152.80000000000001</v>
      </c>
    </row>
    <row r="80" spans="1:8" ht="20" x14ac:dyDescent="0.2">
      <c r="A80" s="9">
        <v>79</v>
      </c>
      <c r="B80" s="7" t="s">
        <v>127</v>
      </c>
      <c r="C80" s="8">
        <v>73.599999999999994</v>
      </c>
      <c r="D80" s="8">
        <v>40</v>
      </c>
      <c r="E80" s="8">
        <v>58</v>
      </c>
      <c r="F80" s="8">
        <v>67.099999999999994</v>
      </c>
      <c r="G80" s="8">
        <v>80.8</v>
      </c>
      <c r="H80" s="8">
        <v>151.30000000000001</v>
      </c>
    </row>
    <row r="81" spans="1:8" ht="20" x14ac:dyDescent="0.2">
      <c r="A81" s="9">
        <v>80</v>
      </c>
      <c r="B81" s="7" t="s">
        <v>128</v>
      </c>
      <c r="C81" s="8">
        <v>73.5</v>
      </c>
      <c r="D81" s="8">
        <v>40.9</v>
      </c>
      <c r="E81" s="8">
        <v>58.4</v>
      </c>
      <c r="F81" s="8">
        <v>83.5</v>
      </c>
      <c r="G81" s="8">
        <v>78.099999999999994</v>
      </c>
      <c r="H81" s="8">
        <v>132.30000000000001</v>
      </c>
    </row>
    <row r="82" spans="1:8" ht="20" x14ac:dyDescent="0.2">
      <c r="A82" s="9">
        <v>81</v>
      </c>
      <c r="B82" s="7" t="s">
        <v>129</v>
      </c>
      <c r="C82" s="8">
        <v>73.5</v>
      </c>
      <c r="D82" s="8">
        <v>27.1</v>
      </c>
      <c r="E82" s="8">
        <v>51.9</v>
      </c>
      <c r="F82" s="8">
        <v>70.3</v>
      </c>
      <c r="G82" s="8">
        <v>82.2</v>
      </c>
      <c r="H82" s="8">
        <v>118</v>
      </c>
    </row>
    <row r="83" spans="1:8" ht="20" x14ac:dyDescent="0.2">
      <c r="A83" s="9">
        <v>82</v>
      </c>
      <c r="B83" s="7" t="s">
        <v>130</v>
      </c>
      <c r="C83" s="8">
        <v>73.5</v>
      </c>
      <c r="D83" s="8">
        <v>53.9</v>
      </c>
      <c r="E83" s="8">
        <v>64.3</v>
      </c>
      <c r="F83" s="8">
        <v>73.3</v>
      </c>
      <c r="G83" s="8">
        <v>48.6</v>
      </c>
      <c r="H83" s="8">
        <v>97.4</v>
      </c>
    </row>
    <row r="84" spans="1:8" ht="20" x14ac:dyDescent="0.2">
      <c r="A84" s="9">
        <v>83</v>
      </c>
      <c r="B84" s="7" t="s">
        <v>131</v>
      </c>
      <c r="C84" s="8">
        <v>73.400000000000006</v>
      </c>
      <c r="D84" s="8">
        <v>30.9</v>
      </c>
      <c r="E84" s="8">
        <v>53.7</v>
      </c>
      <c r="F84" s="8">
        <v>65.8</v>
      </c>
      <c r="G84" s="8">
        <v>76.5</v>
      </c>
      <c r="H84" s="8">
        <v>166.3</v>
      </c>
    </row>
    <row r="85" spans="1:8" ht="20" x14ac:dyDescent="0.2">
      <c r="A85" s="9">
        <v>84</v>
      </c>
      <c r="B85" s="7" t="s">
        <v>132</v>
      </c>
      <c r="C85" s="8">
        <v>73.400000000000006</v>
      </c>
      <c r="D85" s="8">
        <v>30</v>
      </c>
      <c r="E85" s="8">
        <v>53.2</v>
      </c>
      <c r="F85" s="8">
        <v>76.2</v>
      </c>
      <c r="G85" s="8">
        <v>79.2</v>
      </c>
      <c r="H85" s="8">
        <v>128.6</v>
      </c>
    </row>
    <row r="86" spans="1:8" ht="20" x14ac:dyDescent="0.2">
      <c r="A86" s="9">
        <v>85</v>
      </c>
      <c r="B86" s="7" t="s">
        <v>133</v>
      </c>
      <c r="C86" s="8">
        <v>73.400000000000006</v>
      </c>
      <c r="D86" s="8">
        <v>20</v>
      </c>
      <c r="E86" s="8">
        <v>48.6</v>
      </c>
      <c r="F86" s="8">
        <v>88.5</v>
      </c>
      <c r="G86" s="8">
        <v>72</v>
      </c>
      <c r="H86" s="8">
        <v>105.9</v>
      </c>
    </row>
    <row r="87" spans="1:8" ht="20" x14ac:dyDescent="0.2">
      <c r="A87" s="9">
        <v>86</v>
      </c>
      <c r="B87" s="7" t="s">
        <v>134</v>
      </c>
      <c r="C87" s="8">
        <v>73.2</v>
      </c>
      <c r="D87" s="8">
        <v>33.200000000000003</v>
      </c>
      <c r="E87" s="8">
        <v>54.6</v>
      </c>
      <c r="F87" s="8">
        <v>79.8</v>
      </c>
      <c r="G87" s="8">
        <v>73.7</v>
      </c>
      <c r="H87" s="8">
        <v>150.19999999999999</v>
      </c>
    </row>
    <row r="88" spans="1:8" ht="20" x14ac:dyDescent="0.2">
      <c r="A88" s="9">
        <v>87</v>
      </c>
      <c r="B88" s="7" t="s">
        <v>135</v>
      </c>
      <c r="C88" s="8">
        <v>73.099999999999994</v>
      </c>
      <c r="D88" s="8">
        <v>39.5</v>
      </c>
      <c r="E88" s="8">
        <v>57.5</v>
      </c>
      <c r="F88" s="8">
        <v>82.9</v>
      </c>
      <c r="G88" s="8">
        <v>70.8</v>
      </c>
      <c r="H88" s="8">
        <v>120.3</v>
      </c>
    </row>
    <row r="89" spans="1:8" ht="20" x14ac:dyDescent="0.2">
      <c r="A89" s="9">
        <v>88</v>
      </c>
      <c r="B89" s="7" t="s">
        <v>136</v>
      </c>
      <c r="C89" s="8">
        <v>72.8</v>
      </c>
      <c r="D89" s="8">
        <v>33.6</v>
      </c>
      <c r="E89" s="8">
        <v>54.5</v>
      </c>
      <c r="F89" s="8">
        <v>83.2</v>
      </c>
      <c r="G89" s="8">
        <v>72.099999999999994</v>
      </c>
      <c r="H89" s="8">
        <v>134.1</v>
      </c>
    </row>
    <row r="90" spans="1:8" ht="20" x14ac:dyDescent="0.2">
      <c r="A90" s="9">
        <v>89</v>
      </c>
      <c r="B90" s="7" t="s">
        <v>137</v>
      </c>
      <c r="C90" s="8">
        <v>72.7</v>
      </c>
      <c r="D90" s="8">
        <v>26.9</v>
      </c>
      <c r="E90" s="8">
        <v>51.4</v>
      </c>
      <c r="F90" s="8">
        <v>89.2</v>
      </c>
      <c r="G90" s="8">
        <v>69.099999999999994</v>
      </c>
      <c r="H90" s="8">
        <v>159</v>
      </c>
    </row>
    <row r="91" spans="1:8" ht="20" x14ac:dyDescent="0.2">
      <c r="A91" s="9">
        <v>90</v>
      </c>
      <c r="B91" s="7" t="s">
        <v>138</v>
      </c>
      <c r="C91" s="8">
        <v>72.5</v>
      </c>
      <c r="D91" s="8">
        <v>22.1</v>
      </c>
      <c r="E91" s="8">
        <v>49.1</v>
      </c>
      <c r="F91" s="8">
        <v>65.3</v>
      </c>
      <c r="G91" s="8">
        <v>76.8</v>
      </c>
      <c r="H91" s="8">
        <v>136.30000000000001</v>
      </c>
    </row>
    <row r="92" spans="1:8" ht="20" x14ac:dyDescent="0.2">
      <c r="A92" s="9">
        <v>91</v>
      </c>
      <c r="B92" s="7" t="s">
        <v>139</v>
      </c>
      <c r="C92" s="8">
        <v>72.400000000000006</v>
      </c>
      <c r="D92" s="8">
        <v>48.3</v>
      </c>
      <c r="E92" s="8">
        <v>61.2</v>
      </c>
      <c r="F92" s="8">
        <v>72.2</v>
      </c>
      <c r="G92" s="8">
        <v>82.3</v>
      </c>
      <c r="H92" s="8">
        <v>98.1</v>
      </c>
    </row>
    <row r="93" spans="1:8" ht="20" x14ac:dyDescent="0.2">
      <c r="A93" s="9">
        <v>92</v>
      </c>
      <c r="B93" s="7" t="s">
        <v>140</v>
      </c>
      <c r="C93" s="8">
        <v>72.2</v>
      </c>
      <c r="D93" s="8">
        <v>23.9</v>
      </c>
      <c r="E93" s="8">
        <v>49.7</v>
      </c>
      <c r="F93" s="8">
        <v>67.8</v>
      </c>
      <c r="G93" s="8">
        <v>67.900000000000006</v>
      </c>
      <c r="H93" s="8">
        <v>123.1</v>
      </c>
    </row>
    <row r="94" spans="1:8" ht="20" x14ac:dyDescent="0.2">
      <c r="A94" s="9">
        <v>93</v>
      </c>
      <c r="B94" s="7" t="s">
        <v>141</v>
      </c>
      <c r="C94" s="8">
        <v>72.2</v>
      </c>
      <c r="D94" s="8">
        <v>29.4</v>
      </c>
      <c r="E94" s="8">
        <v>52.3</v>
      </c>
      <c r="F94" s="8">
        <v>66.3</v>
      </c>
      <c r="G94" s="8">
        <v>71</v>
      </c>
      <c r="H94" s="8">
        <v>150.1</v>
      </c>
    </row>
    <row r="95" spans="1:8" ht="20" x14ac:dyDescent="0.2">
      <c r="A95" s="9">
        <v>94</v>
      </c>
      <c r="B95" s="7" t="s">
        <v>142</v>
      </c>
      <c r="C95" s="8">
        <v>72.2</v>
      </c>
      <c r="D95" s="8">
        <v>21</v>
      </c>
      <c r="E95" s="8">
        <v>48.4</v>
      </c>
      <c r="F95" s="8">
        <v>84</v>
      </c>
      <c r="G95" s="8">
        <v>68.400000000000006</v>
      </c>
      <c r="H95" s="8">
        <v>122</v>
      </c>
    </row>
    <row r="96" spans="1:8" ht="20" x14ac:dyDescent="0.2">
      <c r="A96" s="9">
        <v>95</v>
      </c>
      <c r="B96" s="7" t="s">
        <v>143</v>
      </c>
      <c r="C96" s="8">
        <v>71.900000000000006</v>
      </c>
      <c r="D96" s="8">
        <v>34.6</v>
      </c>
      <c r="E96" s="8">
        <v>54.5</v>
      </c>
      <c r="F96" s="8">
        <v>84.4</v>
      </c>
      <c r="G96" s="8">
        <v>75.599999999999994</v>
      </c>
      <c r="H96" s="8">
        <v>153.19999999999999</v>
      </c>
    </row>
    <row r="97" spans="1:8" ht="20" x14ac:dyDescent="0.2">
      <c r="A97" s="9">
        <v>96</v>
      </c>
      <c r="B97" s="7" t="s">
        <v>144</v>
      </c>
      <c r="C97" s="8">
        <v>71.8</v>
      </c>
      <c r="D97" s="8">
        <v>35.799999999999997</v>
      </c>
      <c r="E97" s="8">
        <v>55.1</v>
      </c>
      <c r="F97" s="8">
        <v>64.2</v>
      </c>
      <c r="G97" s="8">
        <v>84.3</v>
      </c>
      <c r="H97" s="8">
        <v>126.6</v>
      </c>
    </row>
    <row r="98" spans="1:8" ht="20" x14ac:dyDescent="0.2">
      <c r="A98" s="9">
        <v>97</v>
      </c>
      <c r="B98" s="7" t="s">
        <v>145</v>
      </c>
      <c r="C98" s="8">
        <v>71.8</v>
      </c>
      <c r="D98" s="8">
        <v>37.700000000000003</v>
      </c>
      <c r="E98" s="8">
        <v>56</v>
      </c>
      <c r="F98" s="8">
        <v>81</v>
      </c>
      <c r="G98" s="8">
        <v>70.3</v>
      </c>
      <c r="H98" s="8">
        <v>142.80000000000001</v>
      </c>
    </row>
    <row r="99" spans="1:8" ht="20" x14ac:dyDescent="0.2">
      <c r="A99" s="9">
        <v>98</v>
      </c>
      <c r="B99" s="7" t="s">
        <v>146</v>
      </c>
      <c r="C99" s="8">
        <v>71.7</v>
      </c>
      <c r="D99" s="8">
        <v>46.2</v>
      </c>
      <c r="E99" s="8">
        <v>59.8</v>
      </c>
      <c r="F99" s="8">
        <v>76.3</v>
      </c>
      <c r="G99" s="8">
        <v>72.099999999999994</v>
      </c>
      <c r="H99" s="8">
        <v>144.80000000000001</v>
      </c>
    </row>
    <row r="100" spans="1:8" ht="20" x14ac:dyDescent="0.2">
      <c r="A100" s="9">
        <v>99</v>
      </c>
      <c r="B100" s="7" t="s">
        <v>147</v>
      </c>
      <c r="C100" s="8">
        <v>71.5</v>
      </c>
      <c r="D100" s="8">
        <v>16.399999999999999</v>
      </c>
      <c r="E100" s="8">
        <v>45.9</v>
      </c>
      <c r="F100" s="8">
        <v>66.2</v>
      </c>
      <c r="G100" s="8">
        <v>73.7</v>
      </c>
      <c r="H100" s="8">
        <v>147</v>
      </c>
    </row>
    <row r="101" spans="1:8" ht="20" x14ac:dyDescent="0.2">
      <c r="A101" s="9">
        <v>100</v>
      </c>
      <c r="B101" s="7" t="s">
        <v>148</v>
      </c>
      <c r="C101" s="8">
        <v>71.400000000000006</v>
      </c>
      <c r="D101" s="8">
        <v>20.9</v>
      </c>
      <c r="E101" s="8">
        <v>47.9</v>
      </c>
      <c r="F101" s="8">
        <v>78.099999999999994</v>
      </c>
      <c r="G101" s="8">
        <v>66.400000000000006</v>
      </c>
      <c r="H101" s="8">
        <v>128.4</v>
      </c>
    </row>
    <row r="102" spans="1:8" ht="20" x14ac:dyDescent="0.2">
      <c r="A102" s="9">
        <v>101</v>
      </c>
      <c r="B102" s="7" t="s">
        <v>149</v>
      </c>
      <c r="C102" s="8">
        <v>71.400000000000006</v>
      </c>
      <c r="D102" s="8">
        <v>25</v>
      </c>
      <c r="E102" s="8">
        <v>49.8</v>
      </c>
      <c r="F102" s="8">
        <v>68.8</v>
      </c>
      <c r="G102" s="8">
        <v>88.9</v>
      </c>
      <c r="H102" s="8">
        <v>129.19999999999999</v>
      </c>
    </row>
    <row r="103" spans="1:8" ht="20" x14ac:dyDescent="0.2">
      <c r="A103" s="9">
        <v>102</v>
      </c>
      <c r="B103" s="7" t="s">
        <v>150</v>
      </c>
      <c r="C103" s="8">
        <v>71.3</v>
      </c>
      <c r="D103" s="8">
        <v>25.9</v>
      </c>
      <c r="E103" s="8">
        <v>50.2</v>
      </c>
      <c r="F103" s="8">
        <v>67.5</v>
      </c>
      <c r="G103" s="8">
        <v>71</v>
      </c>
      <c r="H103" s="8">
        <v>141.69999999999999</v>
      </c>
    </row>
    <row r="104" spans="1:8" ht="20" x14ac:dyDescent="0.2">
      <c r="A104" s="9">
        <v>103</v>
      </c>
      <c r="B104" s="7" t="s">
        <v>151</v>
      </c>
      <c r="C104" s="8">
        <v>71.3</v>
      </c>
      <c r="D104" s="8">
        <v>18.399999999999999</v>
      </c>
      <c r="E104" s="8">
        <v>46.7</v>
      </c>
      <c r="F104" s="8">
        <v>74.099999999999994</v>
      </c>
      <c r="G104" s="8">
        <v>72.3</v>
      </c>
      <c r="H104" s="8">
        <v>126.8</v>
      </c>
    </row>
    <row r="105" spans="1:8" ht="20" x14ac:dyDescent="0.2">
      <c r="A105" s="9">
        <v>104</v>
      </c>
      <c r="B105" s="7" t="s">
        <v>152</v>
      </c>
      <c r="C105" s="8">
        <v>71.3</v>
      </c>
      <c r="D105" s="8">
        <v>31.8</v>
      </c>
      <c r="E105" s="8">
        <v>52.9</v>
      </c>
      <c r="F105" s="8">
        <v>66.7</v>
      </c>
      <c r="G105" s="8">
        <v>67.599999999999994</v>
      </c>
      <c r="H105" s="8">
        <v>112.1</v>
      </c>
    </row>
    <row r="106" spans="1:8" ht="20" x14ac:dyDescent="0.2">
      <c r="A106" s="9">
        <v>105</v>
      </c>
      <c r="B106" s="7" t="s">
        <v>153</v>
      </c>
      <c r="C106" s="8">
        <v>71.3</v>
      </c>
      <c r="D106" s="8">
        <v>37.6</v>
      </c>
      <c r="E106" s="8">
        <v>55.6</v>
      </c>
      <c r="F106" s="8">
        <v>62.8</v>
      </c>
      <c r="G106" s="8">
        <v>84.3</v>
      </c>
      <c r="H106" s="8">
        <v>124.6</v>
      </c>
    </row>
    <row r="107" spans="1:8" ht="20" x14ac:dyDescent="0.2">
      <c r="A107" s="9">
        <v>106</v>
      </c>
      <c r="B107" s="7" t="s">
        <v>154</v>
      </c>
      <c r="C107" s="8">
        <v>71.3</v>
      </c>
      <c r="D107" s="8">
        <v>17.2</v>
      </c>
      <c r="E107" s="8">
        <v>46.1</v>
      </c>
      <c r="F107" s="8">
        <v>64.2</v>
      </c>
      <c r="G107" s="8">
        <v>66.3</v>
      </c>
      <c r="H107" s="8">
        <v>134.30000000000001</v>
      </c>
    </row>
    <row r="108" spans="1:8" ht="20" x14ac:dyDescent="0.2">
      <c r="A108" s="9">
        <v>107</v>
      </c>
      <c r="B108" s="7" t="s">
        <v>155</v>
      </c>
      <c r="C108" s="8">
        <v>71.3</v>
      </c>
      <c r="D108" s="8">
        <v>32.200000000000003</v>
      </c>
      <c r="E108" s="8">
        <v>53.1</v>
      </c>
      <c r="F108" s="8">
        <v>64.2</v>
      </c>
      <c r="G108" s="8">
        <v>84.4</v>
      </c>
      <c r="H108" s="8">
        <v>122.6</v>
      </c>
    </row>
    <row r="109" spans="1:8" ht="20" x14ac:dyDescent="0.2">
      <c r="A109" s="9">
        <v>108</v>
      </c>
      <c r="B109" s="7" t="s">
        <v>156</v>
      </c>
      <c r="C109" s="8">
        <v>71.2</v>
      </c>
      <c r="D109" s="8">
        <v>27.2</v>
      </c>
      <c r="E109" s="8">
        <v>50.8</v>
      </c>
      <c r="F109" s="8">
        <v>76.400000000000006</v>
      </c>
      <c r="G109" s="8">
        <v>77.2</v>
      </c>
      <c r="H109" s="8">
        <v>142.1</v>
      </c>
    </row>
    <row r="110" spans="1:8" ht="20" x14ac:dyDescent="0.2">
      <c r="A110" s="9">
        <v>109</v>
      </c>
      <c r="B110" s="7" t="s">
        <v>157</v>
      </c>
      <c r="C110" s="8">
        <v>71.2</v>
      </c>
      <c r="D110" s="8">
        <v>26.1</v>
      </c>
      <c r="E110" s="8">
        <v>50.2</v>
      </c>
      <c r="F110" s="8">
        <v>66.5</v>
      </c>
      <c r="G110" s="8">
        <v>71.5</v>
      </c>
      <c r="H110" s="8">
        <v>139.19999999999999</v>
      </c>
    </row>
    <row r="111" spans="1:8" ht="20" x14ac:dyDescent="0.2">
      <c r="A111" s="9">
        <v>110</v>
      </c>
      <c r="B111" s="7" t="s">
        <v>158</v>
      </c>
      <c r="C111" s="8">
        <v>71.099999999999994</v>
      </c>
      <c r="D111" s="8">
        <v>21.9</v>
      </c>
      <c r="E111" s="8">
        <v>48.2</v>
      </c>
      <c r="F111" s="8">
        <v>69</v>
      </c>
      <c r="G111" s="8">
        <v>86.5</v>
      </c>
      <c r="H111" s="8">
        <v>119.6</v>
      </c>
    </row>
    <row r="112" spans="1:8" ht="20" x14ac:dyDescent="0.2">
      <c r="A112" s="9">
        <v>111</v>
      </c>
      <c r="B112" s="7" t="s">
        <v>159</v>
      </c>
      <c r="C112" s="8">
        <v>71</v>
      </c>
      <c r="D112" s="8">
        <v>34.5</v>
      </c>
      <c r="E112" s="8">
        <v>54.1</v>
      </c>
      <c r="F112" s="8">
        <v>75.7</v>
      </c>
      <c r="G112" s="8">
        <v>71.900000000000006</v>
      </c>
      <c r="H112" s="8">
        <v>155.1</v>
      </c>
    </row>
    <row r="113" spans="1:8" ht="20" x14ac:dyDescent="0.2">
      <c r="A113" s="9">
        <v>112</v>
      </c>
      <c r="B113" s="7" t="s">
        <v>160</v>
      </c>
      <c r="C113" s="8">
        <v>71</v>
      </c>
      <c r="D113" s="8">
        <v>36.200000000000003</v>
      </c>
      <c r="E113" s="8">
        <v>54.8</v>
      </c>
      <c r="F113" s="8">
        <v>80.900000000000006</v>
      </c>
      <c r="G113" s="8">
        <v>71.7</v>
      </c>
      <c r="H113" s="8">
        <v>147.9</v>
      </c>
    </row>
    <row r="114" spans="1:8" ht="20" x14ac:dyDescent="0.2">
      <c r="A114" s="9">
        <v>113</v>
      </c>
      <c r="B114" s="7" t="s">
        <v>161</v>
      </c>
      <c r="C114" s="8">
        <v>71</v>
      </c>
      <c r="D114" s="8">
        <v>41.2</v>
      </c>
      <c r="E114" s="8">
        <v>57.1</v>
      </c>
      <c r="F114" s="8">
        <v>81</v>
      </c>
      <c r="G114" s="8">
        <v>74.099999999999994</v>
      </c>
      <c r="H114" s="8">
        <v>149.80000000000001</v>
      </c>
    </row>
    <row r="115" spans="1:8" ht="20" x14ac:dyDescent="0.2">
      <c r="A115" s="9">
        <v>114</v>
      </c>
      <c r="B115" s="7" t="s">
        <v>162</v>
      </c>
      <c r="C115" s="8">
        <v>70.7</v>
      </c>
      <c r="D115" s="8">
        <v>21.4</v>
      </c>
      <c r="E115" s="8">
        <v>47.8</v>
      </c>
      <c r="F115" s="8">
        <v>65.7</v>
      </c>
      <c r="G115" s="8">
        <v>70</v>
      </c>
      <c r="H115" s="8">
        <v>131.69999999999999</v>
      </c>
    </row>
    <row r="116" spans="1:8" ht="20" x14ac:dyDescent="0.2">
      <c r="A116" s="9">
        <v>115</v>
      </c>
      <c r="B116" s="7" t="s">
        <v>163</v>
      </c>
      <c r="C116" s="8">
        <v>70.7</v>
      </c>
      <c r="D116" s="8">
        <v>18.8</v>
      </c>
      <c r="E116" s="8">
        <v>46.6</v>
      </c>
      <c r="F116" s="8">
        <v>68.599999999999994</v>
      </c>
      <c r="G116" s="8">
        <v>68.7</v>
      </c>
      <c r="H116" s="8">
        <v>148.80000000000001</v>
      </c>
    </row>
    <row r="117" spans="1:8" ht="20" x14ac:dyDescent="0.2">
      <c r="A117" s="9">
        <v>116</v>
      </c>
      <c r="B117" s="7" t="s">
        <v>164</v>
      </c>
      <c r="C117" s="8">
        <v>70.7</v>
      </c>
      <c r="D117" s="8">
        <v>33</v>
      </c>
      <c r="E117" s="8">
        <v>53.1</v>
      </c>
      <c r="F117" s="8">
        <v>66.5</v>
      </c>
      <c r="G117" s="8">
        <v>73.900000000000006</v>
      </c>
      <c r="H117" s="8">
        <v>161</v>
      </c>
    </row>
    <row r="118" spans="1:8" ht="20" x14ac:dyDescent="0.2">
      <c r="A118" s="9">
        <v>117</v>
      </c>
      <c r="B118" s="7" t="s">
        <v>165</v>
      </c>
      <c r="C118" s="8">
        <v>70.7</v>
      </c>
      <c r="D118" s="8">
        <v>42</v>
      </c>
      <c r="E118" s="8">
        <v>57.3</v>
      </c>
      <c r="F118" s="8">
        <v>72.900000000000006</v>
      </c>
      <c r="G118" s="8">
        <v>76.8</v>
      </c>
      <c r="H118" s="8">
        <v>131.1</v>
      </c>
    </row>
    <row r="119" spans="1:8" ht="20" x14ac:dyDescent="0.2">
      <c r="A119" s="9">
        <v>118</v>
      </c>
      <c r="B119" s="7" t="s">
        <v>166</v>
      </c>
      <c r="C119" s="8">
        <v>70.599999999999994</v>
      </c>
      <c r="D119" s="8">
        <v>34.700000000000003</v>
      </c>
      <c r="E119" s="8">
        <v>53.9</v>
      </c>
      <c r="F119" s="8">
        <v>69.2</v>
      </c>
      <c r="G119" s="8">
        <v>86.9</v>
      </c>
      <c r="H119" s="8">
        <v>138.9</v>
      </c>
    </row>
    <row r="120" spans="1:8" ht="20" x14ac:dyDescent="0.2">
      <c r="A120" s="9">
        <v>119</v>
      </c>
      <c r="B120" s="7" t="s">
        <v>167</v>
      </c>
      <c r="C120" s="8">
        <v>70.5</v>
      </c>
      <c r="D120" s="8">
        <v>39.700000000000003</v>
      </c>
      <c r="E120" s="8">
        <v>56.1</v>
      </c>
      <c r="F120" s="8">
        <v>64.3</v>
      </c>
      <c r="G120" s="8">
        <v>79.900000000000006</v>
      </c>
      <c r="H120" s="8">
        <v>123.1</v>
      </c>
    </row>
    <row r="121" spans="1:8" ht="20" x14ac:dyDescent="0.2">
      <c r="A121" s="9">
        <v>120</v>
      </c>
      <c r="B121" s="7" t="s">
        <v>168</v>
      </c>
      <c r="C121" s="8">
        <v>70.3</v>
      </c>
      <c r="D121" s="8">
        <v>29.7</v>
      </c>
      <c r="E121" s="8">
        <v>51.4</v>
      </c>
      <c r="F121" s="8">
        <v>64.3</v>
      </c>
      <c r="G121" s="8">
        <v>68.8</v>
      </c>
      <c r="H121" s="8">
        <v>144.30000000000001</v>
      </c>
    </row>
    <row r="122" spans="1:8" ht="20" x14ac:dyDescent="0.2">
      <c r="A122" s="9">
        <v>121</v>
      </c>
      <c r="B122" s="7" t="s">
        <v>169</v>
      </c>
      <c r="C122" s="8">
        <v>70.3</v>
      </c>
      <c r="D122" s="8">
        <v>33.799999999999997</v>
      </c>
      <c r="E122" s="8">
        <v>53.3</v>
      </c>
      <c r="F122" s="8">
        <v>65.3</v>
      </c>
      <c r="G122" s="8">
        <v>77.900000000000006</v>
      </c>
      <c r="H122" s="8">
        <v>145.6</v>
      </c>
    </row>
    <row r="123" spans="1:8" ht="20" x14ac:dyDescent="0.2">
      <c r="A123" s="9">
        <v>122</v>
      </c>
      <c r="B123" s="7" t="s">
        <v>170</v>
      </c>
      <c r="C123" s="8">
        <v>70.099999999999994</v>
      </c>
      <c r="D123" s="8">
        <v>33.1</v>
      </c>
      <c r="E123" s="8">
        <v>52.9</v>
      </c>
      <c r="F123" s="8">
        <v>69.8</v>
      </c>
      <c r="G123" s="8">
        <v>83.1</v>
      </c>
      <c r="H123" s="8">
        <v>157.80000000000001</v>
      </c>
    </row>
    <row r="124" spans="1:8" ht="20" x14ac:dyDescent="0.2">
      <c r="A124" s="9">
        <v>123</v>
      </c>
      <c r="B124" s="7" t="s">
        <v>171</v>
      </c>
      <c r="C124" s="8">
        <v>70.099999999999994</v>
      </c>
      <c r="D124" s="8">
        <v>30.8</v>
      </c>
      <c r="E124" s="8">
        <v>51.8</v>
      </c>
      <c r="F124" s="8">
        <v>76.7</v>
      </c>
      <c r="G124" s="8">
        <v>66.2</v>
      </c>
      <c r="H124" s="8">
        <v>98</v>
      </c>
    </row>
    <row r="125" spans="1:8" ht="20" x14ac:dyDescent="0.2">
      <c r="A125" s="9">
        <v>124</v>
      </c>
      <c r="B125" s="7" t="s">
        <v>172</v>
      </c>
      <c r="C125" s="8">
        <v>70</v>
      </c>
      <c r="D125" s="8">
        <v>23.3</v>
      </c>
      <c r="E125" s="8">
        <v>48.3</v>
      </c>
      <c r="F125" s="8">
        <v>66.400000000000006</v>
      </c>
      <c r="G125" s="8">
        <v>71.3</v>
      </c>
      <c r="H125" s="8">
        <v>136.19999999999999</v>
      </c>
    </row>
    <row r="126" spans="1:8" ht="20" x14ac:dyDescent="0.2">
      <c r="A126" s="9">
        <v>125</v>
      </c>
      <c r="B126" s="7" t="s">
        <v>173</v>
      </c>
      <c r="C126" s="8">
        <v>70</v>
      </c>
      <c r="D126" s="8">
        <v>26.4</v>
      </c>
      <c r="E126" s="8">
        <v>49.8</v>
      </c>
      <c r="F126" s="8">
        <v>65.2</v>
      </c>
      <c r="G126" s="8">
        <v>72.8</v>
      </c>
      <c r="H126" s="8">
        <v>178.6</v>
      </c>
    </row>
    <row r="127" spans="1:8" ht="20" x14ac:dyDescent="0.2">
      <c r="A127" s="9">
        <v>126</v>
      </c>
      <c r="B127" s="7" t="s">
        <v>174</v>
      </c>
      <c r="C127" s="8">
        <v>70</v>
      </c>
      <c r="D127" s="8">
        <v>22.8</v>
      </c>
      <c r="E127" s="8">
        <v>48.1</v>
      </c>
      <c r="F127" s="8">
        <v>63.6</v>
      </c>
      <c r="G127" s="8">
        <v>74.7</v>
      </c>
      <c r="H127" s="8">
        <v>143</v>
      </c>
    </row>
    <row r="128" spans="1:8" ht="20" x14ac:dyDescent="0.2">
      <c r="A128" s="9">
        <v>127</v>
      </c>
      <c r="B128" s="7" t="s">
        <v>175</v>
      </c>
      <c r="C128" s="8">
        <v>69.900000000000006</v>
      </c>
      <c r="D128" s="8">
        <v>30.3</v>
      </c>
      <c r="E128" s="8">
        <v>51.5</v>
      </c>
      <c r="F128" s="8">
        <v>70.3</v>
      </c>
      <c r="G128" s="8">
        <v>80.7</v>
      </c>
      <c r="H128" s="8">
        <v>131.30000000000001</v>
      </c>
    </row>
    <row r="129" spans="1:8" ht="20" x14ac:dyDescent="0.2">
      <c r="A129" s="9">
        <v>128</v>
      </c>
      <c r="B129" s="7" t="s">
        <v>176</v>
      </c>
      <c r="C129" s="8">
        <v>69.8</v>
      </c>
      <c r="D129" s="8">
        <v>32.5</v>
      </c>
      <c r="E129" s="8">
        <v>52.4</v>
      </c>
      <c r="F129" s="8">
        <v>77.599999999999994</v>
      </c>
      <c r="G129" s="8">
        <v>71.2</v>
      </c>
      <c r="H129" s="8">
        <v>150</v>
      </c>
    </row>
    <row r="130" spans="1:8" ht="20" x14ac:dyDescent="0.2">
      <c r="A130" s="9">
        <v>129</v>
      </c>
      <c r="B130" s="7" t="s">
        <v>177</v>
      </c>
      <c r="C130" s="8">
        <v>69.599999999999994</v>
      </c>
      <c r="D130" s="8">
        <v>48.7</v>
      </c>
      <c r="E130" s="8">
        <v>59.9</v>
      </c>
      <c r="F130" s="8">
        <v>72.099999999999994</v>
      </c>
      <c r="G130" s="8">
        <v>76.7</v>
      </c>
      <c r="H130" s="8">
        <v>142.4</v>
      </c>
    </row>
    <row r="131" spans="1:8" ht="20" x14ac:dyDescent="0.2">
      <c r="A131" s="9">
        <v>130</v>
      </c>
      <c r="B131" s="7" t="s">
        <v>178</v>
      </c>
      <c r="C131" s="8">
        <v>69.599999999999994</v>
      </c>
      <c r="D131" s="8">
        <v>38.799999999999997</v>
      </c>
      <c r="E131" s="8">
        <v>55.3</v>
      </c>
      <c r="F131" s="8">
        <v>81.3</v>
      </c>
      <c r="G131" s="8">
        <v>71.5</v>
      </c>
      <c r="H131" s="8">
        <v>150.19999999999999</v>
      </c>
    </row>
    <row r="132" spans="1:8" ht="20" x14ac:dyDescent="0.2">
      <c r="A132" s="9">
        <v>131</v>
      </c>
      <c r="B132" s="7" t="s">
        <v>179</v>
      </c>
      <c r="C132" s="8">
        <v>69.599999999999994</v>
      </c>
      <c r="D132" s="8">
        <v>33.6</v>
      </c>
      <c r="E132" s="8">
        <v>52.8</v>
      </c>
      <c r="F132" s="8">
        <v>63.4</v>
      </c>
      <c r="G132" s="8">
        <v>67.5</v>
      </c>
      <c r="H132" s="8">
        <v>127.4</v>
      </c>
    </row>
    <row r="133" spans="1:8" ht="20" x14ac:dyDescent="0.2">
      <c r="A133" s="9">
        <v>132</v>
      </c>
      <c r="B133" s="7" t="s">
        <v>180</v>
      </c>
      <c r="C133" s="8">
        <v>69.599999999999994</v>
      </c>
      <c r="D133" s="8">
        <v>18.8</v>
      </c>
      <c r="E133" s="8">
        <v>45.9</v>
      </c>
      <c r="F133" s="8">
        <v>69.099999999999994</v>
      </c>
      <c r="G133" s="8">
        <v>70.3</v>
      </c>
      <c r="H133" s="8">
        <v>144.9</v>
      </c>
    </row>
    <row r="134" spans="1:8" ht="20" x14ac:dyDescent="0.2">
      <c r="A134" s="9">
        <v>133</v>
      </c>
      <c r="B134" s="7" t="s">
        <v>181</v>
      </c>
      <c r="C134" s="8">
        <v>69.2</v>
      </c>
      <c r="D134" s="8">
        <v>41.6</v>
      </c>
      <c r="E134" s="8">
        <v>56.4</v>
      </c>
      <c r="F134" s="8">
        <v>77.400000000000006</v>
      </c>
      <c r="G134" s="8">
        <v>68.099999999999994</v>
      </c>
      <c r="H134" s="8">
        <v>149.80000000000001</v>
      </c>
    </row>
    <row r="135" spans="1:8" ht="20" x14ac:dyDescent="0.2">
      <c r="A135" s="9">
        <v>134</v>
      </c>
      <c r="B135" s="7" t="s">
        <v>182</v>
      </c>
      <c r="C135" s="8">
        <v>69.099999999999994</v>
      </c>
      <c r="D135" s="8">
        <v>25.4</v>
      </c>
      <c r="E135" s="8">
        <v>48.8</v>
      </c>
      <c r="F135" s="8">
        <v>68</v>
      </c>
      <c r="G135" s="8">
        <v>76.900000000000006</v>
      </c>
      <c r="H135" s="8">
        <v>131.5</v>
      </c>
    </row>
    <row r="136" spans="1:8" ht="20" x14ac:dyDescent="0.2">
      <c r="A136" s="9">
        <v>135</v>
      </c>
      <c r="B136" s="7" t="s">
        <v>183</v>
      </c>
      <c r="C136" s="8">
        <v>69.099999999999994</v>
      </c>
      <c r="D136" s="8">
        <v>24.2</v>
      </c>
      <c r="E136" s="8">
        <v>48.2</v>
      </c>
      <c r="F136" s="8">
        <v>71.599999999999994</v>
      </c>
      <c r="G136" s="8">
        <v>72.2</v>
      </c>
      <c r="H136" s="8">
        <v>132.4</v>
      </c>
    </row>
    <row r="137" spans="1:8" ht="20" x14ac:dyDescent="0.2">
      <c r="A137" s="9">
        <v>136</v>
      </c>
      <c r="B137" s="7" t="s">
        <v>184</v>
      </c>
      <c r="C137" s="8">
        <v>69.099999999999994</v>
      </c>
      <c r="D137" s="8">
        <v>19.100000000000001</v>
      </c>
      <c r="E137" s="8">
        <v>45.8</v>
      </c>
      <c r="F137" s="8">
        <v>76.7</v>
      </c>
      <c r="G137" s="8">
        <v>69.2</v>
      </c>
      <c r="H137" s="8">
        <v>122.5</v>
      </c>
    </row>
    <row r="138" spans="1:8" ht="20" x14ac:dyDescent="0.2">
      <c r="A138" s="9">
        <v>137</v>
      </c>
      <c r="B138" s="7" t="s">
        <v>185</v>
      </c>
      <c r="C138" s="8">
        <v>69</v>
      </c>
      <c r="D138" s="8">
        <v>29</v>
      </c>
      <c r="E138" s="8">
        <v>50.4</v>
      </c>
      <c r="F138" s="8">
        <v>63.1</v>
      </c>
      <c r="G138" s="8">
        <v>74.2</v>
      </c>
      <c r="H138" s="8">
        <v>140</v>
      </c>
    </row>
    <row r="139" spans="1:8" ht="20" x14ac:dyDescent="0.2">
      <c r="A139" s="9">
        <v>138</v>
      </c>
      <c r="B139" s="7" t="s">
        <v>186</v>
      </c>
      <c r="C139" s="8">
        <v>69</v>
      </c>
      <c r="D139" s="8">
        <v>21.5</v>
      </c>
      <c r="E139" s="8">
        <v>46.9</v>
      </c>
      <c r="F139" s="8">
        <v>64.7</v>
      </c>
      <c r="G139" s="8">
        <v>71.5</v>
      </c>
      <c r="H139" s="8">
        <v>151.6</v>
      </c>
    </row>
    <row r="140" spans="1:8" ht="20" x14ac:dyDescent="0.2">
      <c r="A140" s="9">
        <v>139</v>
      </c>
      <c r="B140" s="7" t="s">
        <v>187</v>
      </c>
      <c r="C140" s="8">
        <v>68.900000000000006</v>
      </c>
      <c r="D140" s="8">
        <v>21.2</v>
      </c>
      <c r="E140" s="8">
        <v>46.7</v>
      </c>
      <c r="F140" s="8">
        <v>72.400000000000006</v>
      </c>
      <c r="G140" s="8">
        <v>73.099999999999994</v>
      </c>
      <c r="H140" s="8">
        <v>131.19999999999999</v>
      </c>
    </row>
    <row r="141" spans="1:8" ht="20" x14ac:dyDescent="0.2">
      <c r="A141" s="9">
        <v>140</v>
      </c>
      <c r="B141" s="7" t="s">
        <v>188</v>
      </c>
      <c r="C141" s="8">
        <v>68.900000000000006</v>
      </c>
      <c r="D141" s="8">
        <v>34.299999999999997</v>
      </c>
      <c r="E141" s="8">
        <v>52.8</v>
      </c>
      <c r="F141" s="8">
        <v>71.599999999999994</v>
      </c>
      <c r="G141" s="8">
        <v>74.3</v>
      </c>
      <c r="H141" s="8">
        <v>155.69999999999999</v>
      </c>
    </row>
    <row r="142" spans="1:8" ht="20" x14ac:dyDescent="0.2">
      <c r="A142" s="9">
        <v>141</v>
      </c>
      <c r="B142" s="7" t="s">
        <v>189</v>
      </c>
      <c r="C142" s="8">
        <v>68.8</v>
      </c>
      <c r="D142" s="8">
        <v>39.299999999999997</v>
      </c>
      <c r="E142" s="8">
        <v>55.1</v>
      </c>
      <c r="F142" s="8">
        <v>78.099999999999994</v>
      </c>
      <c r="G142" s="8">
        <v>68</v>
      </c>
      <c r="H142" s="8">
        <v>152</v>
      </c>
    </row>
    <row r="143" spans="1:8" ht="20" x14ac:dyDescent="0.2">
      <c r="A143" s="9">
        <v>142</v>
      </c>
      <c r="B143" s="7" t="s">
        <v>190</v>
      </c>
      <c r="C143" s="8">
        <v>68.8</v>
      </c>
      <c r="D143" s="8">
        <v>26.7</v>
      </c>
      <c r="E143" s="8">
        <v>49.2</v>
      </c>
      <c r="F143" s="8">
        <v>66.8</v>
      </c>
      <c r="G143" s="8">
        <v>67.5</v>
      </c>
      <c r="H143" s="8">
        <v>140.30000000000001</v>
      </c>
    </row>
    <row r="144" spans="1:8" ht="20" x14ac:dyDescent="0.2">
      <c r="A144" s="9">
        <v>143</v>
      </c>
      <c r="B144" s="7" t="s">
        <v>191</v>
      </c>
      <c r="C144" s="8">
        <v>68.8</v>
      </c>
      <c r="D144" s="8">
        <v>30.2</v>
      </c>
      <c r="E144" s="8">
        <v>50.9</v>
      </c>
      <c r="F144" s="8">
        <v>63.3</v>
      </c>
      <c r="G144" s="8">
        <v>85.9</v>
      </c>
      <c r="H144" s="8">
        <v>128.9</v>
      </c>
    </row>
    <row r="145" spans="1:8" ht="20" x14ac:dyDescent="0.2">
      <c r="A145" s="9">
        <v>144</v>
      </c>
      <c r="B145" s="7" t="s">
        <v>192</v>
      </c>
      <c r="C145" s="8">
        <v>68.8</v>
      </c>
      <c r="D145" s="8">
        <v>22.1</v>
      </c>
      <c r="E145" s="8">
        <v>47.1</v>
      </c>
      <c r="F145" s="8">
        <v>74.8</v>
      </c>
      <c r="G145" s="8">
        <v>69.8</v>
      </c>
      <c r="H145" s="8">
        <v>125.9</v>
      </c>
    </row>
    <row r="146" spans="1:8" ht="20" x14ac:dyDescent="0.2">
      <c r="A146" s="9">
        <v>145</v>
      </c>
      <c r="B146" s="7" t="s">
        <v>193</v>
      </c>
      <c r="C146" s="8">
        <v>68.7</v>
      </c>
      <c r="D146" s="8">
        <v>25.2</v>
      </c>
      <c r="E146" s="8">
        <v>48.5</v>
      </c>
      <c r="F146" s="8">
        <v>68.3</v>
      </c>
      <c r="G146" s="8">
        <v>64.2</v>
      </c>
      <c r="H146" s="8">
        <v>145.9</v>
      </c>
    </row>
    <row r="147" spans="1:8" ht="20" x14ac:dyDescent="0.2">
      <c r="A147" s="9">
        <v>146</v>
      </c>
      <c r="B147" s="7" t="s">
        <v>194</v>
      </c>
      <c r="C147" s="8">
        <v>68.7</v>
      </c>
      <c r="D147" s="8">
        <v>44.1</v>
      </c>
      <c r="E147" s="8">
        <v>57.3</v>
      </c>
      <c r="F147" s="8">
        <v>74.3</v>
      </c>
      <c r="G147" s="8">
        <v>72.900000000000006</v>
      </c>
      <c r="H147" s="8">
        <v>161.80000000000001</v>
      </c>
    </row>
    <row r="148" spans="1:8" ht="20" x14ac:dyDescent="0.2">
      <c r="A148" s="9">
        <v>147</v>
      </c>
      <c r="B148" s="7" t="s">
        <v>195</v>
      </c>
      <c r="C148" s="8">
        <v>68.599999999999994</v>
      </c>
      <c r="D148" s="8">
        <v>21.2</v>
      </c>
      <c r="E148" s="8">
        <v>46.6</v>
      </c>
      <c r="F148" s="8">
        <v>72.400000000000006</v>
      </c>
      <c r="G148" s="8">
        <v>70.8</v>
      </c>
      <c r="H148" s="8">
        <v>122.2</v>
      </c>
    </row>
    <row r="149" spans="1:8" ht="20" x14ac:dyDescent="0.2">
      <c r="A149" s="9">
        <v>148</v>
      </c>
      <c r="B149" s="7" t="s">
        <v>196</v>
      </c>
      <c r="C149" s="8">
        <v>68.5</v>
      </c>
      <c r="D149" s="8">
        <v>19</v>
      </c>
      <c r="E149" s="8">
        <v>45.5</v>
      </c>
      <c r="F149" s="8">
        <v>67.599999999999994</v>
      </c>
      <c r="G149" s="8">
        <v>78.599999999999994</v>
      </c>
      <c r="H149" s="8">
        <v>120.8</v>
      </c>
    </row>
    <row r="150" spans="1:8" ht="20" x14ac:dyDescent="0.2">
      <c r="A150" s="9">
        <v>149</v>
      </c>
      <c r="B150" s="7" t="s">
        <v>197</v>
      </c>
      <c r="C150" s="8">
        <v>68.400000000000006</v>
      </c>
      <c r="D150" s="8">
        <v>22.2</v>
      </c>
      <c r="E150" s="8">
        <v>47</v>
      </c>
      <c r="F150" s="8">
        <v>69</v>
      </c>
      <c r="G150" s="8">
        <v>75.400000000000006</v>
      </c>
      <c r="H150" s="8">
        <v>133.30000000000001</v>
      </c>
    </row>
    <row r="151" spans="1:8" ht="20" x14ac:dyDescent="0.2">
      <c r="A151" s="9">
        <v>150</v>
      </c>
      <c r="B151" s="7" t="s">
        <v>198</v>
      </c>
      <c r="C151" s="8">
        <v>68.400000000000006</v>
      </c>
      <c r="D151" s="8">
        <v>17.7</v>
      </c>
      <c r="E151" s="8">
        <v>44.8</v>
      </c>
      <c r="F151" s="8">
        <v>65.599999999999994</v>
      </c>
      <c r="G151" s="8">
        <v>69.7</v>
      </c>
      <c r="H151" s="8">
        <v>142.1</v>
      </c>
    </row>
    <row r="152" spans="1:8" ht="20" x14ac:dyDescent="0.2">
      <c r="A152" s="9">
        <v>151</v>
      </c>
      <c r="B152" s="7" t="s">
        <v>199</v>
      </c>
      <c r="C152" s="8">
        <v>68.400000000000006</v>
      </c>
      <c r="D152" s="8">
        <v>27.9</v>
      </c>
      <c r="E152" s="8">
        <v>49.5</v>
      </c>
      <c r="F152" s="8">
        <v>72.3</v>
      </c>
      <c r="G152" s="8">
        <v>75.900000000000006</v>
      </c>
      <c r="H152" s="8">
        <v>80.2</v>
      </c>
    </row>
    <row r="153" spans="1:8" ht="20" x14ac:dyDescent="0.2">
      <c r="A153" s="9">
        <v>152</v>
      </c>
      <c r="B153" s="7" t="s">
        <v>200</v>
      </c>
      <c r="C153" s="8">
        <v>68.3</v>
      </c>
      <c r="D153" s="8">
        <v>19.899999999999999</v>
      </c>
      <c r="E153" s="8">
        <v>45.8</v>
      </c>
      <c r="F153" s="8">
        <v>67</v>
      </c>
      <c r="G153" s="8">
        <v>68.5</v>
      </c>
      <c r="H153" s="8">
        <v>143.4</v>
      </c>
    </row>
    <row r="154" spans="1:8" ht="20" x14ac:dyDescent="0.2">
      <c r="A154" s="9">
        <v>153</v>
      </c>
      <c r="B154" s="7" t="s">
        <v>201</v>
      </c>
      <c r="C154" s="8">
        <v>68.3</v>
      </c>
      <c r="D154" s="8">
        <v>21.6</v>
      </c>
      <c r="E154" s="8">
        <v>46.6</v>
      </c>
      <c r="F154" s="8">
        <v>70.599999999999994</v>
      </c>
      <c r="G154" s="8">
        <v>76.099999999999994</v>
      </c>
      <c r="H154" s="8">
        <v>83.5</v>
      </c>
    </row>
    <row r="155" spans="1:8" ht="20" x14ac:dyDescent="0.2">
      <c r="A155" s="9">
        <v>154</v>
      </c>
      <c r="B155" s="7" t="s">
        <v>202</v>
      </c>
      <c r="C155" s="8">
        <v>68.2</v>
      </c>
      <c r="D155" s="8">
        <v>36.6</v>
      </c>
      <c r="E155" s="8">
        <v>53.5</v>
      </c>
      <c r="F155" s="8">
        <v>81</v>
      </c>
      <c r="G155" s="8">
        <v>69</v>
      </c>
      <c r="H155" s="8">
        <v>109.2</v>
      </c>
    </row>
    <row r="156" spans="1:8" ht="20" x14ac:dyDescent="0.2">
      <c r="A156" s="9">
        <v>155</v>
      </c>
      <c r="B156" s="7" t="s">
        <v>203</v>
      </c>
      <c r="C156" s="8">
        <v>68.2</v>
      </c>
      <c r="D156" s="8">
        <v>34.9</v>
      </c>
      <c r="E156" s="8">
        <v>52.7</v>
      </c>
      <c r="F156" s="8">
        <v>80.900000000000006</v>
      </c>
      <c r="G156" s="8">
        <v>60.1</v>
      </c>
      <c r="H156" s="8">
        <v>112.1</v>
      </c>
    </row>
    <row r="157" spans="1:8" ht="20" x14ac:dyDescent="0.2">
      <c r="A157" s="9">
        <v>156</v>
      </c>
      <c r="B157" s="7" t="s">
        <v>204</v>
      </c>
      <c r="C157" s="8">
        <v>68.2</v>
      </c>
      <c r="D157" s="8">
        <v>38.4</v>
      </c>
      <c r="E157" s="8">
        <v>54.4</v>
      </c>
      <c r="F157" s="8">
        <v>74.3</v>
      </c>
      <c r="G157" s="8">
        <v>72</v>
      </c>
      <c r="H157" s="8">
        <v>119.7</v>
      </c>
    </row>
    <row r="158" spans="1:8" ht="20" x14ac:dyDescent="0.2">
      <c r="A158" s="9">
        <v>157</v>
      </c>
      <c r="B158" s="7" t="s">
        <v>205</v>
      </c>
      <c r="C158" s="8">
        <v>68.2</v>
      </c>
      <c r="D158" s="8">
        <v>31.6</v>
      </c>
      <c r="E158" s="8">
        <v>51.1</v>
      </c>
      <c r="F158" s="8">
        <v>75.2</v>
      </c>
      <c r="G158" s="8">
        <v>67.5</v>
      </c>
      <c r="H158" s="8">
        <v>160</v>
      </c>
    </row>
    <row r="159" spans="1:8" ht="20" x14ac:dyDescent="0.2">
      <c r="A159" s="9">
        <v>158</v>
      </c>
      <c r="B159" s="7" t="s">
        <v>206</v>
      </c>
      <c r="C159" s="8">
        <v>68.099999999999994</v>
      </c>
      <c r="D159" s="8">
        <v>36.9</v>
      </c>
      <c r="E159" s="8">
        <v>53.6</v>
      </c>
      <c r="F159" s="8">
        <v>65.400000000000006</v>
      </c>
      <c r="G159" s="8">
        <v>75.400000000000006</v>
      </c>
      <c r="H159" s="8">
        <v>120.2</v>
      </c>
    </row>
    <row r="160" spans="1:8" ht="20" x14ac:dyDescent="0.2">
      <c r="A160" s="9">
        <v>159</v>
      </c>
      <c r="B160" s="7" t="s">
        <v>207</v>
      </c>
      <c r="C160" s="8">
        <v>68.099999999999994</v>
      </c>
      <c r="D160" s="8">
        <v>44</v>
      </c>
      <c r="E160" s="8">
        <v>56.9</v>
      </c>
      <c r="F160" s="8">
        <v>75.599999999999994</v>
      </c>
      <c r="G160" s="8">
        <v>73.099999999999994</v>
      </c>
      <c r="H160" s="8">
        <v>127.5</v>
      </c>
    </row>
    <row r="161" spans="1:8" ht="20" x14ac:dyDescent="0.2">
      <c r="A161" s="9">
        <v>160</v>
      </c>
      <c r="B161" s="7" t="s">
        <v>208</v>
      </c>
      <c r="C161" s="8">
        <v>68</v>
      </c>
      <c r="D161" s="8">
        <v>45.8</v>
      </c>
      <c r="E161" s="8">
        <v>57.7</v>
      </c>
      <c r="F161" s="8">
        <v>70.3</v>
      </c>
      <c r="G161" s="8">
        <v>74.8</v>
      </c>
      <c r="H161" s="8">
        <v>165.1</v>
      </c>
    </row>
    <row r="162" spans="1:8" ht="20" x14ac:dyDescent="0.2">
      <c r="A162" s="9">
        <v>161</v>
      </c>
      <c r="B162" s="7" t="s">
        <v>209</v>
      </c>
      <c r="C162" s="8">
        <v>67.900000000000006</v>
      </c>
      <c r="D162" s="8">
        <v>31.7</v>
      </c>
      <c r="E162" s="8">
        <v>51.1</v>
      </c>
      <c r="F162" s="8">
        <v>64.7</v>
      </c>
      <c r="G162" s="8">
        <v>73.3</v>
      </c>
      <c r="H162" s="8">
        <v>134</v>
      </c>
    </row>
    <row r="163" spans="1:8" ht="20" x14ac:dyDescent="0.2">
      <c r="A163" s="9">
        <v>162</v>
      </c>
      <c r="B163" s="7" t="s">
        <v>210</v>
      </c>
      <c r="C163" s="8">
        <v>67.900000000000006</v>
      </c>
      <c r="D163" s="8">
        <v>24.8</v>
      </c>
      <c r="E163" s="8">
        <v>47.8</v>
      </c>
      <c r="F163" s="8">
        <v>70.099999999999994</v>
      </c>
      <c r="G163" s="8">
        <v>73.5</v>
      </c>
      <c r="H163" s="8">
        <v>91.1</v>
      </c>
    </row>
    <row r="164" spans="1:8" ht="20" x14ac:dyDescent="0.2">
      <c r="A164" s="9">
        <v>163</v>
      </c>
      <c r="B164" s="7" t="s">
        <v>211</v>
      </c>
      <c r="C164" s="8">
        <v>67.8</v>
      </c>
      <c r="D164" s="8">
        <v>25</v>
      </c>
      <c r="E164" s="8">
        <v>47.9</v>
      </c>
      <c r="F164" s="8">
        <v>70.5</v>
      </c>
      <c r="G164" s="8">
        <v>75.2</v>
      </c>
      <c r="H164" s="8">
        <v>116.2</v>
      </c>
    </row>
    <row r="165" spans="1:8" ht="20" x14ac:dyDescent="0.2">
      <c r="A165" s="9">
        <v>164</v>
      </c>
      <c r="B165" s="7" t="s">
        <v>212</v>
      </c>
      <c r="C165" s="8">
        <v>67.7</v>
      </c>
      <c r="D165" s="8">
        <v>20.9</v>
      </c>
      <c r="E165" s="8">
        <v>45.9</v>
      </c>
      <c r="F165" s="8">
        <v>64.3</v>
      </c>
      <c r="G165" s="8">
        <v>66.900000000000006</v>
      </c>
      <c r="H165" s="8">
        <v>133.69999999999999</v>
      </c>
    </row>
    <row r="166" spans="1:8" ht="20" x14ac:dyDescent="0.2">
      <c r="A166" s="9">
        <v>165</v>
      </c>
      <c r="B166" s="7" t="s">
        <v>213</v>
      </c>
      <c r="C166" s="8">
        <v>67.599999999999994</v>
      </c>
      <c r="D166" s="8">
        <v>32.9</v>
      </c>
      <c r="E166" s="8">
        <v>51.4</v>
      </c>
      <c r="F166" s="8">
        <v>60.4</v>
      </c>
      <c r="G166" s="8">
        <v>72.3</v>
      </c>
      <c r="H166" s="8">
        <v>125.3</v>
      </c>
    </row>
    <row r="167" spans="1:8" ht="20" x14ac:dyDescent="0.2">
      <c r="A167" s="9">
        <v>166</v>
      </c>
      <c r="B167" s="7" t="s">
        <v>214</v>
      </c>
      <c r="C167" s="8">
        <v>67.400000000000006</v>
      </c>
      <c r="D167" s="8">
        <v>32</v>
      </c>
      <c r="E167" s="8">
        <v>50.9</v>
      </c>
      <c r="F167" s="8">
        <v>73.599999999999994</v>
      </c>
      <c r="G167" s="8">
        <v>69.5</v>
      </c>
      <c r="H167" s="8">
        <v>163.5</v>
      </c>
    </row>
    <row r="168" spans="1:8" ht="20" x14ac:dyDescent="0.2">
      <c r="A168" s="9">
        <v>167</v>
      </c>
      <c r="B168" s="7" t="s">
        <v>215</v>
      </c>
      <c r="C168" s="8">
        <v>67.400000000000006</v>
      </c>
      <c r="D168" s="8">
        <v>37.700000000000003</v>
      </c>
      <c r="E168" s="8">
        <v>53.6</v>
      </c>
      <c r="F168" s="8">
        <v>75.599999999999994</v>
      </c>
      <c r="G168" s="8">
        <v>73.599999999999994</v>
      </c>
      <c r="H168" s="8">
        <v>167.7</v>
      </c>
    </row>
    <row r="169" spans="1:8" ht="20" x14ac:dyDescent="0.2">
      <c r="A169" s="9">
        <v>168</v>
      </c>
      <c r="B169" s="7" t="s">
        <v>216</v>
      </c>
      <c r="C169" s="8">
        <v>67.3</v>
      </c>
      <c r="D169" s="8">
        <v>33.4</v>
      </c>
      <c r="E169" s="8">
        <v>51.5</v>
      </c>
      <c r="F169" s="8">
        <v>58.4</v>
      </c>
      <c r="G169" s="8">
        <v>76.099999999999994</v>
      </c>
      <c r="H169" s="8">
        <v>120.4</v>
      </c>
    </row>
    <row r="170" spans="1:8" ht="20" x14ac:dyDescent="0.2">
      <c r="A170" s="9">
        <v>169</v>
      </c>
      <c r="B170" s="7" t="s">
        <v>217</v>
      </c>
      <c r="C170" s="8">
        <v>67.3</v>
      </c>
      <c r="D170" s="8">
        <v>38.1</v>
      </c>
      <c r="E170" s="8">
        <v>53.7</v>
      </c>
      <c r="F170" s="8">
        <v>74.3</v>
      </c>
      <c r="G170" s="8">
        <v>71.099999999999994</v>
      </c>
      <c r="H170" s="8">
        <v>134.5</v>
      </c>
    </row>
    <row r="171" spans="1:8" ht="20" x14ac:dyDescent="0.2">
      <c r="A171" s="9">
        <v>170</v>
      </c>
      <c r="B171" s="7" t="s">
        <v>218</v>
      </c>
      <c r="C171" s="8">
        <v>67.2</v>
      </c>
      <c r="D171" s="8">
        <v>25.8</v>
      </c>
      <c r="E171" s="8">
        <v>48</v>
      </c>
      <c r="F171" s="8">
        <v>62.7</v>
      </c>
      <c r="G171" s="8">
        <v>78</v>
      </c>
      <c r="H171" s="8">
        <v>150.1</v>
      </c>
    </row>
    <row r="172" spans="1:8" ht="20" x14ac:dyDescent="0.2">
      <c r="A172" s="9">
        <v>171</v>
      </c>
      <c r="B172" s="7" t="s">
        <v>219</v>
      </c>
      <c r="C172" s="8">
        <v>67.099999999999994</v>
      </c>
      <c r="D172" s="8">
        <v>36.6</v>
      </c>
      <c r="E172" s="8">
        <v>52.9</v>
      </c>
      <c r="F172" s="8">
        <v>69.7</v>
      </c>
      <c r="G172" s="8">
        <v>70.099999999999994</v>
      </c>
      <c r="H172" s="8">
        <v>132.9</v>
      </c>
    </row>
    <row r="173" spans="1:8" ht="20" x14ac:dyDescent="0.2">
      <c r="A173" s="9">
        <v>172</v>
      </c>
      <c r="B173" s="7" t="s">
        <v>220</v>
      </c>
      <c r="C173" s="8">
        <v>67.099999999999994</v>
      </c>
      <c r="D173" s="8">
        <v>20.3</v>
      </c>
      <c r="E173" s="8">
        <v>45.3</v>
      </c>
      <c r="F173" s="8">
        <v>79.599999999999994</v>
      </c>
      <c r="G173" s="8">
        <v>44</v>
      </c>
      <c r="H173" s="8">
        <v>138.6</v>
      </c>
    </row>
    <row r="174" spans="1:8" ht="20" x14ac:dyDescent="0.2">
      <c r="A174" s="9">
        <v>173</v>
      </c>
      <c r="B174" s="7" t="s">
        <v>221</v>
      </c>
      <c r="C174" s="8">
        <v>67</v>
      </c>
      <c r="D174" s="8">
        <v>35.4</v>
      </c>
      <c r="E174" s="8">
        <v>52.3</v>
      </c>
      <c r="F174" s="8">
        <v>65</v>
      </c>
      <c r="G174" s="8">
        <v>79.2</v>
      </c>
      <c r="H174" s="8">
        <v>163.6</v>
      </c>
    </row>
    <row r="175" spans="1:8" ht="20" x14ac:dyDescent="0.2">
      <c r="A175" s="9">
        <v>174</v>
      </c>
      <c r="B175" s="7" t="s">
        <v>222</v>
      </c>
      <c r="C175" s="8">
        <v>67</v>
      </c>
      <c r="D175" s="8">
        <v>34.200000000000003</v>
      </c>
      <c r="E175" s="8">
        <v>51.8</v>
      </c>
      <c r="F175" s="8">
        <v>73.599999999999994</v>
      </c>
      <c r="G175" s="8">
        <v>69.099999999999994</v>
      </c>
      <c r="H175" s="8">
        <v>145</v>
      </c>
    </row>
    <row r="176" spans="1:8" ht="20" x14ac:dyDescent="0.2">
      <c r="A176" s="9">
        <v>175</v>
      </c>
      <c r="B176" s="7" t="s">
        <v>223</v>
      </c>
      <c r="C176" s="8">
        <v>67</v>
      </c>
      <c r="D176" s="8">
        <v>20.8</v>
      </c>
      <c r="E176" s="8">
        <v>45.5</v>
      </c>
      <c r="F176" s="8">
        <v>67.2</v>
      </c>
      <c r="G176" s="8">
        <v>59.9</v>
      </c>
      <c r="H176" s="8">
        <v>183.1</v>
      </c>
    </row>
    <row r="177" spans="1:8" ht="20" x14ac:dyDescent="0.2">
      <c r="A177" s="9">
        <v>176</v>
      </c>
      <c r="B177" s="7" t="s">
        <v>224</v>
      </c>
      <c r="C177" s="8">
        <v>67</v>
      </c>
      <c r="D177" s="8">
        <v>28.4</v>
      </c>
      <c r="E177" s="8">
        <v>49</v>
      </c>
      <c r="F177" s="8">
        <v>63.9</v>
      </c>
      <c r="G177" s="8">
        <v>73.5</v>
      </c>
      <c r="H177" s="8">
        <v>124.6</v>
      </c>
    </row>
    <row r="178" spans="1:8" ht="20" x14ac:dyDescent="0.2">
      <c r="A178" s="9">
        <v>177</v>
      </c>
      <c r="B178" s="7" t="s">
        <v>225</v>
      </c>
      <c r="C178" s="8">
        <v>67</v>
      </c>
      <c r="D178" s="8">
        <v>35.1</v>
      </c>
      <c r="E178" s="8">
        <v>52.2</v>
      </c>
      <c r="F178" s="8">
        <v>69.599999999999994</v>
      </c>
      <c r="G178" s="8">
        <v>62.6</v>
      </c>
      <c r="H178" s="8">
        <v>115.8</v>
      </c>
    </row>
    <row r="179" spans="1:8" ht="20" x14ac:dyDescent="0.2">
      <c r="A179" s="9">
        <v>178</v>
      </c>
      <c r="B179" s="7" t="s">
        <v>226</v>
      </c>
      <c r="C179" s="8">
        <v>66.7</v>
      </c>
      <c r="D179" s="8">
        <v>20.399999999999999</v>
      </c>
      <c r="E179" s="8">
        <v>45.2</v>
      </c>
      <c r="F179" s="8">
        <v>65.7</v>
      </c>
      <c r="G179" s="8">
        <v>62.8</v>
      </c>
      <c r="H179" s="8">
        <v>128</v>
      </c>
    </row>
    <row r="180" spans="1:8" ht="20" x14ac:dyDescent="0.2">
      <c r="A180" s="9">
        <v>179</v>
      </c>
      <c r="B180" s="7" t="s">
        <v>227</v>
      </c>
      <c r="C180" s="8">
        <v>66.599999999999994</v>
      </c>
      <c r="D180" s="8">
        <v>24</v>
      </c>
      <c r="E180" s="8">
        <v>46.8</v>
      </c>
      <c r="F180" s="8">
        <v>67.099999999999994</v>
      </c>
      <c r="G180" s="8">
        <v>71.3</v>
      </c>
      <c r="H180" s="8">
        <v>166.1</v>
      </c>
    </row>
    <row r="181" spans="1:8" ht="20" x14ac:dyDescent="0.2">
      <c r="A181" s="9">
        <v>180</v>
      </c>
      <c r="B181" s="7" t="s">
        <v>228</v>
      </c>
      <c r="C181" s="8">
        <v>66.599999999999994</v>
      </c>
      <c r="D181" s="8">
        <v>30.1</v>
      </c>
      <c r="E181" s="8">
        <v>49.6</v>
      </c>
      <c r="F181" s="8">
        <v>70.5</v>
      </c>
      <c r="G181" s="8">
        <v>81.3</v>
      </c>
      <c r="H181" s="8">
        <v>153.69999999999999</v>
      </c>
    </row>
    <row r="182" spans="1:8" ht="20" x14ac:dyDescent="0.2">
      <c r="A182" s="9">
        <v>181</v>
      </c>
      <c r="B182" s="7" t="s">
        <v>229</v>
      </c>
      <c r="C182" s="8">
        <v>66.5</v>
      </c>
      <c r="D182" s="8">
        <v>18.600000000000001</v>
      </c>
      <c r="E182" s="8">
        <v>44.3</v>
      </c>
      <c r="F182" s="8">
        <v>64.2</v>
      </c>
      <c r="G182" s="8">
        <v>81.599999999999994</v>
      </c>
      <c r="H182" s="8">
        <v>110.9</v>
      </c>
    </row>
    <row r="183" spans="1:8" ht="20" x14ac:dyDescent="0.2">
      <c r="A183" s="9">
        <v>182</v>
      </c>
      <c r="B183" s="7" t="s">
        <v>230</v>
      </c>
      <c r="C183" s="8">
        <v>66.400000000000006</v>
      </c>
      <c r="D183" s="8">
        <v>29.5</v>
      </c>
      <c r="E183" s="8">
        <v>49.3</v>
      </c>
      <c r="F183" s="8">
        <v>64.3</v>
      </c>
      <c r="G183" s="8">
        <v>72.599999999999994</v>
      </c>
      <c r="H183" s="8">
        <v>124.6</v>
      </c>
    </row>
    <row r="184" spans="1:8" ht="20" x14ac:dyDescent="0.2">
      <c r="A184" s="9">
        <v>183</v>
      </c>
      <c r="B184" s="7" t="s">
        <v>231</v>
      </c>
      <c r="C184" s="8">
        <v>66.400000000000006</v>
      </c>
      <c r="D184" s="8">
        <v>21.7</v>
      </c>
      <c r="E184" s="8">
        <v>45.6</v>
      </c>
      <c r="F184" s="8">
        <v>73.5</v>
      </c>
      <c r="G184" s="8">
        <v>66.5</v>
      </c>
      <c r="H184" s="8">
        <v>80.8</v>
      </c>
    </row>
    <row r="185" spans="1:8" ht="20" x14ac:dyDescent="0.2">
      <c r="A185" s="9">
        <v>184</v>
      </c>
      <c r="B185" s="7" t="s">
        <v>232</v>
      </c>
      <c r="C185" s="8">
        <v>65.900000000000006</v>
      </c>
      <c r="D185" s="8">
        <v>25.4</v>
      </c>
      <c r="E185" s="8">
        <v>47</v>
      </c>
      <c r="F185" s="8">
        <v>60.5</v>
      </c>
      <c r="G185" s="8">
        <v>75.8</v>
      </c>
      <c r="H185" s="8">
        <v>130.69999999999999</v>
      </c>
    </row>
    <row r="186" spans="1:8" ht="20" x14ac:dyDescent="0.2">
      <c r="A186" s="9">
        <v>185</v>
      </c>
      <c r="B186" s="7" t="s">
        <v>233</v>
      </c>
      <c r="C186" s="8">
        <v>65.900000000000006</v>
      </c>
      <c r="D186" s="8">
        <v>20.7</v>
      </c>
      <c r="E186" s="8">
        <v>44.9</v>
      </c>
      <c r="F186" s="8">
        <v>67.7</v>
      </c>
      <c r="G186" s="8">
        <v>71</v>
      </c>
      <c r="H186" s="8">
        <v>143.5</v>
      </c>
    </row>
    <row r="187" spans="1:8" ht="20" x14ac:dyDescent="0.2">
      <c r="A187" s="9">
        <v>186</v>
      </c>
      <c r="B187" s="7" t="s">
        <v>234</v>
      </c>
      <c r="C187" s="8">
        <v>65.8</v>
      </c>
      <c r="D187" s="8">
        <v>21.4</v>
      </c>
      <c r="E187" s="8">
        <v>45.2</v>
      </c>
      <c r="F187" s="8">
        <v>63.1</v>
      </c>
      <c r="G187" s="8">
        <v>78.3</v>
      </c>
      <c r="H187" s="8">
        <v>82.6</v>
      </c>
    </row>
    <row r="188" spans="1:8" ht="20" x14ac:dyDescent="0.2">
      <c r="A188" s="9">
        <v>187</v>
      </c>
      <c r="B188" s="7" t="s">
        <v>235</v>
      </c>
      <c r="C188" s="8">
        <v>65.7</v>
      </c>
      <c r="D188" s="8">
        <v>20.399999999999999</v>
      </c>
      <c r="E188" s="8">
        <v>44.7</v>
      </c>
      <c r="F188" s="8">
        <v>68.3</v>
      </c>
      <c r="G188" s="8">
        <v>68.099999999999994</v>
      </c>
      <c r="H188" s="8">
        <v>131.9</v>
      </c>
    </row>
    <row r="189" spans="1:8" ht="20" x14ac:dyDescent="0.2">
      <c r="A189" s="9">
        <v>188</v>
      </c>
      <c r="B189" s="7" t="s">
        <v>236</v>
      </c>
      <c r="C189" s="8">
        <v>65.7</v>
      </c>
      <c r="D189" s="8">
        <v>35.9</v>
      </c>
      <c r="E189" s="8">
        <v>51.9</v>
      </c>
      <c r="F189" s="8">
        <v>67.7</v>
      </c>
      <c r="G189" s="8">
        <v>70.7</v>
      </c>
      <c r="H189" s="8">
        <v>158</v>
      </c>
    </row>
    <row r="190" spans="1:8" ht="20" x14ac:dyDescent="0.2">
      <c r="A190" s="9">
        <v>189</v>
      </c>
      <c r="B190" s="7" t="s">
        <v>237</v>
      </c>
      <c r="C190" s="8">
        <v>65.7</v>
      </c>
      <c r="D190" s="8">
        <v>23.7</v>
      </c>
      <c r="E190" s="8">
        <v>46.2</v>
      </c>
      <c r="F190" s="8">
        <v>62.6</v>
      </c>
      <c r="G190" s="8">
        <v>69.400000000000006</v>
      </c>
      <c r="H190" s="8">
        <v>143.1</v>
      </c>
    </row>
    <row r="191" spans="1:8" ht="20" x14ac:dyDescent="0.2">
      <c r="A191" s="9">
        <v>190</v>
      </c>
      <c r="B191" s="7" t="s">
        <v>238</v>
      </c>
      <c r="C191" s="8">
        <v>65.7</v>
      </c>
      <c r="D191" s="8">
        <v>18.2</v>
      </c>
      <c r="E191" s="8">
        <v>43.6</v>
      </c>
      <c r="F191" s="8">
        <v>64</v>
      </c>
      <c r="G191" s="8">
        <v>60.1</v>
      </c>
      <c r="H191" s="8">
        <v>154</v>
      </c>
    </row>
    <row r="192" spans="1:8" ht="20" x14ac:dyDescent="0.2">
      <c r="A192" s="9">
        <v>191</v>
      </c>
      <c r="B192" s="7" t="s">
        <v>239</v>
      </c>
      <c r="C192" s="8">
        <v>65.599999999999994</v>
      </c>
      <c r="D192" s="8">
        <v>34.9</v>
      </c>
      <c r="E192" s="8">
        <v>51.3</v>
      </c>
      <c r="F192" s="8">
        <v>68.400000000000006</v>
      </c>
      <c r="G192" s="8">
        <v>71.400000000000006</v>
      </c>
      <c r="H192" s="8">
        <v>147.69999999999999</v>
      </c>
    </row>
    <row r="193" spans="1:8" ht="20" x14ac:dyDescent="0.2">
      <c r="A193" s="9">
        <v>192</v>
      </c>
      <c r="B193" s="7" t="s">
        <v>240</v>
      </c>
      <c r="C193" s="8">
        <v>65.599999999999994</v>
      </c>
      <c r="D193" s="8">
        <v>18</v>
      </c>
      <c r="E193" s="8">
        <v>43.5</v>
      </c>
      <c r="F193" s="8">
        <v>70.599999999999994</v>
      </c>
      <c r="G193" s="8">
        <v>63</v>
      </c>
      <c r="H193" s="8">
        <v>130.6</v>
      </c>
    </row>
    <row r="194" spans="1:8" ht="20" x14ac:dyDescent="0.2">
      <c r="A194" s="9">
        <v>193</v>
      </c>
      <c r="B194" s="7" t="s">
        <v>241</v>
      </c>
      <c r="C194" s="8">
        <v>65.5</v>
      </c>
      <c r="D194" s="8">
        <v>20.8</v>
      </c>
      <c r="E194" s="8">
        <v>44.7</v>
      </c>
      <c r="F194" s="8">
        <v>73.099999999999994</v>
      </c>
      <c r="G194" s="8">
        <v>61.1</v>
      </c>
      <c r="H194" s="8">
        <v>154.9</v>
      </c>
    </row>
    <row r="195" spans="1:8" ht="20" x14ac:dyDescent="0.2">
      <c r="A195" s="9">
        <v>194</v>
      </c>
      <c r="B195" s="7" t="s">
        <v>242</v>
      </c>
      <c r="C195" s="8">
        <v>65.400000000000006</v>
      </c>
      <c r="D195" s="8">
        <v>20.8</v>
      </c>
      <c r="E195" s="8">
        <v>44.7</v>
      </c>
      <c r="F195" s="8">
        <v>68.099999999999994</v>
      </c>
      <c r="G195" s="8">
        <v>61.3</v>
      </c>
      <c r="H195" s="8">
        <v>198.8</v>
      </c>
    </row>
    <row r="196" spans="1:8" ht="20" x14ac:dyDescent="0.2">
      <c r="A196" s="9">
        <v>195</v>
      </c>
      <c r="B196" s="7" t="s">
        <v>243</v>
      </c>
      <c r="C196" s="8">
        <v>65.2</v>
      </c>
      <c r="D196" s="8">
        <v>15</v>
      </c>
      <c r="E196" s="8">
        <v>41.8</v>
      </c>
      <c r="F196" s="8">
        <v>64.5</v>
      </c>
      <c r="G196" s="8">
        <v>59.5</v>
      </c>
      <c r="H196" s="8">
        <v>152.5</v>
      </c>
    </row>
    <row r="197" spans="1:8" ht="20" x14ac:dyDescent="0.2">
      <c r="A197" s="9">
        <v>196</v>
      </c>
      <c r="B197" s="7" t="s">
        <v>244</v>
      </c>
      <c r="C197" s="8">
        <v>65.099999999999994</v>
      </c>
      <c r="D197" s="8">
        <v>30.8</v>
      </c>
      <c r="E197" s="8">
        <v>49.1</v>
      </c>
      <c r="F197" s="8">
        <v>70.599999999999994</v>
      </c>
      <c r="G197" s="8">
        <v>75.8</v>
      </c>
      <c r="H197" s="8">
        <v>159.9</v>
      </c>
    </row>
    <row r="198" spans="1:8" ht="20" x14ac:dyDescent="0.2">
      <c r="A198" s="9">
        <v>197</v>
      </c>
      <c r="B198" s="7" t="s">
        <v>245</v>
      </c>
      <c r="C198" s="8">
        <v>65</v>
      </c>
      <c r="D198" s="8">
        <v>29</v>
      </c>
      <c r="E198" s="8">
        <v>48.3</v>
      </c>
      <c r="F198" s="8">
        <v>73.8</v>
      </c>
      <c r="G198" s="8">
        <v>67</v>
      </c>
      <c r="H198" s="8">
        <v>123.1</v>
      </c>
    </row>
    <row r="199" spans="1:8" ht="20" x14ac:dyDescent="0.2">
      <c r="A199" s="9">
        <v>198</v>
      </c>
      <c r="B199" s="7" t="s">
        <v>246</v>
      </c>
      <c r="C199" s="8">
        <v>65</v>
      </c>
      <c r="D199" s="8">
        <v>12.7</v>
      </c>
      <c r="E199" s="8">
        <v>40.700000000000003</v>
      </c>
      <c r="F199" s="8">
        <v>65.400000000000006</v>
      </c>
      <c r="G199" s="8">
        <v>66.2</v>
      </c>
      <c r="H199" s="8">
        <v>138.80000000000001</v>
      </c>
    </row>
    <row r="200" spans="1:8" ht="20" x14ac:dyDescent="0.2">
      <c r="A200" s="9">
        <v>199</v>
      </c>
      <c r="B200" s="7" t="s">
        <v>247</v>
      </c>
      <c r="C200" s="8">
        <v>65</v>
      </c>
      <c r="D200" s="8">
        <v>20.2</v>
      </c>
      <c r="E200" s="8">
        <v>44.1</v>
      </c>
      <c r="F200" s="8">
        <v>73.099999999999994</v>
      </c>
      <c r="G200" s="8">
        <v>67.599999999999994</v>
      </c>
      <c r="H200" s="8">
        <v>140.30000000000001</v>
      </c>
    </row>
    <row r="201" spans="1:8" ht="20" x14ac:dyDescent="0.2">
      <c r="A201" s="9">
        <v>200</v>
      </c>
      <c r="B201" s="7" t="s">
        <v>248</v>
      </c>
      <c r="C201" s="8">
        <v>64.900000000000006</v>
      </c>
      <c r="D201" s="8">
        <v>31.8</v>
      </c>
      <c r="E201" s="8">
        <v>49.5</v>
      </c>
      <c r="F201" s="8">
        <v>68.5</v>
      </c>
      <c r="G201" s="8">
        <v>76.099999999999994</v>
      </c>
      <c r="H201" s="8">
        <v>152.4</v>
      </c>
    </row>
    <row r="202" spans="1:8" ht="20" x14ac:dyDescent="0.2">
      <c r="A202" s="9">
        <v>201</v>
      </c>
      <c r="B202" s="7" t="s">
        <v>249</v>
      </c>
      <c r="C202" s="8">
        <v>64.900000000000006</v>
      </c>
      <c r="D202" s="8">
        <v>39.1</v>
      </c>
      <c r="E202" s="8">
        <v>52.9</v>
      </c>
      <c r="F202" s="8">
        <v>68.099999999999994</v>
      </c>
      <c r="G202" s="8">
        <v>71.599999999999994</v>
      </c>
      <c r="H202" s="8">
        <v>166.4</v>
      </c>
    </row>
    <row r="203" spans="1:8" ht="20" x14ac:dyDescent="0.2">
      <c r="A203" s="9">
        <v>202</v>
      </c>
      <c r="B203" s="7" t="s">
        <v>250</v>
      </c>
      <c r="C203" s="8">
        <v>64.900000000000006</v>
      </c>
      <c r="D203" s="8">
        <v>36.200000000000003</v>
      </c>
      <c r="E203" s="8">
        <v>51.5</v>
      </c>
      <c r="F203" s="8">
        <v>69.099999999999994</v>
      </c>
      <c r="G203" s="8">
        <v>66.5</v>
      </c>
      <c r="H203" s="8">
        <v>131.80000000000001</v>
      </c>
    </row>
    <row r="204" spans="1:8" ht="20" x14ac:dyDescent="0.2">
      <c r="A204" s="9">
        <v>203</v>
      </c>
      <c r="B204" s="7" t="s">
        <v>251</v>
      </c>
      <c r="C204" s="8">
        <v>64.8</v>
      </c>
      <c r="D204" s="8">
        <v>20.100000000000001</v>
      </c>
      <c r="E204" s="8">
        <v>44</v>
      </c>
      <c r="F204" s="8">
        <v>74.599999999999994</v>
      </c>
      <c r="G204" s="8">
        <v>63.2</v>
      </c>
      <c r="H204" s="8">
        <v>122.8</v>
      </c>
    </row>
    <row r="205" spans="1:8" ht="20" x14ac:dyDescent="0.2">
      <c r="A205" s="9">
        <v>204</v>
      </c>
      <c r="B205" s="7" t="s">
        <v>252</v>
      </c>
      <c r="C205" s="8">
        <v>64.7</v>
      </c>
      <c r="D205" s="8">
        <v>28.9</v>
      </c>
      <c r="E205" s="8">
        <v>48.1</v>
      </c>
      <c r="F205" s="8">
        <v>70.5</v>
      </c>
      <c r="G205" s="8">
        <v>71.599999999999994</v>
      </c>
      <c r="H205" s="8">
        <v>156.4</v>
      </c>
    </row>
    <row r="206" spans="1:8" ht="20" x14ac:dyDescent="0.2">
      <c r="A206" s="9">
        <v>205</v>
      </c>
      <c r="B206" s="7" t="s">
        <v>253</v>
      </c>
      <c r="C206" s="8">
        <v>64.599999999999994</v>
      </c>
      <c r="D206" s="8">
        <v>22.3</v>
      </c>
      <c r="E206" s="8">
        <v>44.9</v>
      </c>
      <c r="F206" s="8">
        <v>66.900000000000006</v>
      </c>
      <c r="G206" s="8">
        <v>70.400000000000006</v>
      </c>
      <c r="H206" s="8">
        <v>137.5</v>
      </c>
    </row>
    <row r="207" spans="1:8" ht="20" x14ac:dyDescent="0.2">
      <c r="A207" s="9">
        <v>206</v>
      </c>
      <c r="B207" s="7" t="s">
        <v>254</v>
      </c>
      <c r="C207" s="8">
        <v>64.5</v>
      </c>
      <c r="D207" s="8">
        <v>28.7</v>
      </c>
      <c r="E207" s="8">
        <v>47.9</v>
      </c>
      <c r="F207" s="8">
        <v>66.2</v>
      </c>
      <c r="G207" s="8">
        <v>68.599999999999994</v>
      </c>
      <c r="H207" s="8">
        <v>132.1</v>
      </c>
    </row>
    <row r="208" spans="1:8" ht="20" x14ac:dyDescent="0.2">
      <c r="A208" s="9">
        <v>207</v>
      </c>
      <c r="B208" s="7" t="s">
        <v>255</v>
      </c>
      <c r="C208" s="8">
        <v>64.400000000000006</v>
      </c>
      <c r="D208" s="8">
        <v>38.1</v>
      </c>
      <c r="E208" s="8">
        <v>52.2</v>
      </c>
      <c r="F208" s="8">
        <v>62.7</v>
      </c>
      <c r="G208" s="8">
        <v>74.3</v>
      </c>
      <c r="H208" s="8">
        <v>68.3</v>
      </c>
    </row>
    <row r="209" spans="1:8" ht="20" x14ac:dyDescent="0.2">
      <c r="A209" s="9">
        <v>208</v>
      </c>
      <c r="B209" s="7" t="s">
        <v>256</v>
      </c>
      <c r="C209" s="8">
        <v>64.400000000000006</v>
      </c>
      <c r="D209" s="8">
        <v>30</v>
      </c>
      <c r="E209" s="8">
        <v>48.4</v>
      </c>
      <c r="F209" s="8">
        <v>70</v>
      </c>
      <c r="G209" s="8">
        <v>60.6</v>
      </c>
      <c r="H209" s="8">
        <v>130.30000000000001</v>
      </c>
    </row>
    <row r="210" spans="1:8" ht="20" x14ac:dyDescent="0.2">
      <c r="A210" s="9">
        <v>209</v>
      </c>
      <c r="B210" s="7" t="s">
        <v>257</v>
      </c>
      <c r="C210" s="8">
        <v>64.400000000000006</v>
      </c>
      <c r="D210" s="8">
        <v>16.899999999999999</v>
      </c>
      <c r="E210" s="8">
        <v>42.3</v>
      </c>
      <c r="F210" s="8">
        <v>66.8</v>
      </c>
      <c r="G210" s="8">
        <v>64.8</v>
      </c>
      <c r="H210" s="8">
        <v>205.1</v>
      </c>
    </row>
    <row r="211" spans="1:8" ht="20" x14ac:dyDescent="0.2">
      <c r="A211" s="9">
        <v>210</v>
      </c>
      <c r="B211" s="7" t="s">
        <v>258</v>
      </c>
      <c r="C211" s="8">
        <v>64.400000000000006</v>
      </c>
      <c r="D211" s="8">
        <v>33.799999999999997</v>
      </c>
      <c r="E211" s="8">
        <v>50.1</v>
      </c>
      <c r="F211" s="8">
        <v>69.2</v>
      </c>
      <c r="G211" s="8">
        <v>64.8</v>
      </c>
      <c r="H211" s="8">
        <v>163.6</v>
      </c>
    </row>
    <row r="212" spans="1:8" ht="20" x14ac:dyDescent="0.2">
      <c r="A212" s="9">
        <v>211</v>
      </c>
      <c r="B212" s="7" t="s">
        <v>259</v>
      </c>
      <c r="C212" s="8">
        <v>64.3</v>
      </c>
      <c r="D212" s="8">
        <v>22.6</v>
      </c>
      <c r="E212" s="8">
        <v>45</v>
      </c>
      <c r="F212" s="8">
        <v>59.6</v>
      </c>
      <c r="G212" s="8">
        <v>69</v>
      </c>
      <c r="H212" s="8">
        <v>104.6</v>
      </c>
    </row>
    <row r="213" spans="1:8" ht="20" x14ac:dyDescent="0.2">
      <c r="A213" s="9">
        <v>212</v>
      </c>
      <c r="B213" s="7" t="s">
        <v>260</v>
      </c>
      <c r="C213" s="8">
        <v>64.3</v>
      </c>
      <c r="D213" s="8">
        <v>25.8</v>
      </c>
      <c r="E213" s="8">
        <v>46.4</v>
      </c>
      <c r="F213" s="8">
        <v>72</v>
      </c>
      <c r="G213" s="8">
        <v>60.1</v>
      </c>
      <c r="H213" s="8">
        <v>144</v>
      </c>
    </row>
    <row r="214" spans="1:8" ht="20" x14ac:dyDescent="0.2">
      <c r="A214" s="9">
        <v>213</v>
      </c>
      <c r="B214" s="7" t="s">
        <v>261</v>
      </c>
      <c r="C214" s="8">
        <v>64.2</v>
      </c>
      <c r="D214" s="8">
        <v>34.4</v>
      </c>
      <c r="E214" s="8">
        <v>50.4</v>
      </c>
      <c r="F214" s="8">
        <v>72.2</v>
      </c>
      <c r="G214" s="8">
        <v>64.2</v>
      </c>
      <c r="H214" s="8">
        <v>132.1</v>
      </c>
    </row>
    <row r="215" spans="1:8" ht="20" x14ac:dyDescent="0.2">
      <c r="A215" s="9">
        <v>214</v>
      </c>
      <c r="B215" s="7" t="s">
        <v>262</v>
      </c>
      <c r="C215" s="8">
        <v>64.2</v>
      </c>
      <c r="D215" s="8">
        <v>26.2</v>
      </c>
      <c r="E215" s="8">
        <v>46.5</v>
      </c>
      <c r="F215" s="8">
        <v>61.7</v>
      </c>
      <c r="G215" s="8">
        <v>74.8</v>
      </c>
      <c r="H215" s="8">
        <v>140.19999999999999</v>
      </c>
    </row>
    <row r="216" spans="1:8" ht="20" x14ac:dyDescent="0.2">
      <c r="A216" s="9">
        <v>215</v>
      </c>
      <c r="B216" s="7" t="s">
        <v>263</v>
      </c>
      <c r="C216" s="8">
        <v>64.099999999999994</v>
      </c>
      <c r="D216" s="8">
        <v>21.2</v>
      </c>
      <c r="E216" s="8">
        <v>44.2</v>
      </c>
      <c r="F216" s="8">
        <v>72.599999999999994</v>
      </c>
      <c r="G216" s="8">
        <v>64.099999999999994</v>
      </c>
      <c r="H216" s="8">
        <v>128.19999999999999</v>
      </c>
    </row>
    <row r="217" spans="1:8" ht="20" x14ac:dyDescent="0.2">
      <c r="A217" s="9">
        <v>216</v>
      </c>
      <c r="B217" s="7" t="s">
        <v>264</v>
      </c>
      <c r="C217" s="8">
        <v>64.099999999999994</v>
      </c>
      <c r="D217" s="8">
        <v>29.2</v>
      </c>
      <c r="E217" s="8">
        <v>47.8</v>
      </c>
      <c r="F217" s="8">
        <v>71.900000000000006</v>
      </c>
      <c r="G217" s="8">
        <v>59.4</v>
      </c>
      <c r="H217" s="8">
        <v>124.6</v>
      </c>
    </row>
    <row r="218" spans="1:8" ht="20" x14ac:dyDescent="0.2">
      <c r="A218" s="9">
        <v>217</v>
      </c>
      <c r="B218" s="7" t="s">
        <v>265</v>
      </c>
      <c r="C218" s="8">
        <v>64</v>
      </c>
      <c r="D218" s="8">
        <v>22.1</v>
      </c>
      <c r="E218" s="8">
        <v>44.5</v>
      </c>
      <c r="F218" s="8">
        <v>59.1</v>
      </c>
      <c r="G218" s="8">
        <v>77</v>
      </c>
      <c r="H218" s="8">
        <v>89.2</v>
      </c>
    </row>
    <row r="219" spans="1:8" ht="20" x14ac:dyDescent="0.2">
      <c r="A219" s="9">
        <v>218</v>
      </c>
      <c r="B219" s="7" t="s">
        <v>266</v>
      </c>
      <c r="C219" s="8">
        <v>63.9</v>
      </c>
      <c r="D219" s="8">
        <v>23.4</v>
      </c>
      <c r="E219" s="8">
        <v>45.1</v>
      </c>
      <c r="F219" s="8">
        <v>58.7</v>
      </c>
      <c r="G219" s="8">
        <v>72.099999999999994</v>
      </c>
      <c r="H219" s="8">
        <v>141.9</v>
      </c>
    </row>
    <row r="220" spans="1:8" ht="20" x14ac:dyDescent="0.2">
      <c r="A220" s="9">
        <v>219</v>
      </c>
      <c r="B220" s="7" t="s">
        <v>267</v>
      </c>
      <c r="C220" s="8">
        <v>63.8</v>
      </c>
      <c r="D220" s="8">
        <v>18</v>
      </c>
      <c r="E220" s="8">
        <v>42.5</v>
      </c>
      <c r="F220" s="8">
        <v>58.9</v>
      </c>
      <c r="G220" s="8">
        <v>71.7</v>
      </c>
      <c r="H220" s="8">
        <v>99.2</v>
      </c>
    </row>
    <row r="221" spans="1:8" ht="20" x14ac:dyDescent="0.2">
      <c r="A221" s="9">
        <v>220</v>
      </c>
      <c r="B221" s="7" t="s">
        <v>268</v>
      </c>
      <c r="C221" s="8">
        <v>63.8</v>
      </c>
      <c r="D221" s="8">
        <v>21.8</v>
      </c>
      <c r="E221" s="8">
        <v>44.3</v>
      </c>
      <c r="F221" s="8">
        <v>63.8</v>
      </c>
      <c r="G221" s="8">
        <v>68</v>
      </c>
      <c r="H221" s="8">
        <v>88.8</v>
      </c>
    </row>
    <row r="222" spans="1:8" ht="20" x14ac:dyDescent="0.2">
      <c r="A222" s="9">
        <v>221</v>
      </c>
      <c r="B222" s="7" t="s">
        <v>269</v>
      </c>
      <c r="C222" s="8">
        <v>63.6</v>
      </c>
      <c r="D222" s="8">
        <v>28.5</v>
      </c>
      <c r="E222" s="8">
        <v>47.3</v>
      </c>
      <c r="F222" s="8">
        <v>71.099999999999994</v>
      </c>
      <c r="G222" s="8">
        <v>62.4</v>
      </c>
      <c r="H222" s="8">
        <v>130</v>
      </c>
    </row>
    <row r="223" spans="1:8" ht="20" x14ac:dyDescent="0.2">
      <c r="A223" s="9">
        <v>222</v>
      </c>
      <c r="B223" s="7" t="s">
        <v>270</v>
      </c>
      <c r="C223" s="8">
        <v>63</v>
      </c>
      <c r="D223" s="8">
        <v>31.4</v>
      </c>
      <c r="E223" s="8">
        <v>48.3</v>
      </c>
      <c r="F223" s="8">
        <v>71.5</v>
      </c>
      <c r="G223" s="8">
        <v>63.1</v>
      </c>
      <c r="H223" s="8">
        <v>118.6</v>
      </c>
    </row>
    <row r="224" spans="1:8" ht="20" x14ac:dyDescent="0.2">
      <c r="A224" s="9">
        <v>223</v>
      </c>
      <c r="B224" s="7" t="s">
        <v>271</v>
      </c>
      <c r="C224" s="8">
        <v>62.9</v>
      </c>
      <c r="D224" s="8">
        <v>19.2</v>
      </c>
      <c r="E224" s="8">
        <v>42.6</v>
      </c>
      <c r="F224" s="8">
        <v>65.900000000000006</v>
      </c>
      <c r="G224" s="8">
        <v>71.7</v>
      </c>
      <c r="H224" s="8">
        <v>83.6</v>
      </c>
    </row>
    <row r="225" spans="1:8" ht="20" x14ac:dyDescent="0.2">
      <c r="A225" s="9">
        <v>224</v>
      </c>
      <c r="B225" s="7" t="s">
        <v>272</v>
      </c>
      <c r="C225" s="8">
        <v>62.9</v>
      </c>
      <c r="D225" s="8">
        <v>29.3</v>
      </c>
      <c r="E225" s="8">
        <v>47.2</v>
      </c>
      <c r="F225" s="8">
        <v>71.8</v>
      </c>
      <c r="G225" s="8">
        <v>69.3</v>
      </c>
      <c r="H225" s="8">
        <v>161.1</v>
      </c>
    </row>
    <row r="226" spans="1:8" ht="20" x14ac:dyDescent="0.2">
      <c r="A226" s="9">
        <v>225</v>
      </c>
      <c r="B226" s="7" t="s">
        <v>273</v>
      </c>
      <c r="C226" s="8">
        <v>62.9</v>
      </c>
      <c r="D226" s="8">
        <v>34.799999999999997</v>
      </c>
      <c r="E226" s="8">
        <v>49.8</v>
      </c>
      <c r="F226" s="8">
        <v>67.2</v>
      </c>
      <c r="G226" s="8">
        <v>59.6</v>
      </c>
      <c r="H226" s="8">
        <v>158</v>
      </c>
    </row>
    <row r="227" spans="1:8" ht="20" x14ac:dyDescent="0.2">
      <c r="A227" s="9">
        <v>226</v>
      </c>
      <c r="B227" s="7" t="s">
        <v>274</v>
      </c>
      <c r="C227" s="8">
        <v>62.9</v>
      </c>
      <c r="D227" s="8">
        <v>36.200000000000003</v>
      </c>
      <c r="E227" s="8">
        <v>50.5</v>
      </c>
      <c r="F227" s="8">
        <v>65.8</v>
      </c>
      <c r="G227" s="8">
        <v>62</v>
      </c>
      <c r="H227" s="8">
        <v>116.4</v>
      </c>
    </row>
    <row r="228" spans="1:8" ht="20" x14ac:dyDescent="0.2">
      <c r="A228" s="9">
        <v>227</v>
      </c>
      <c r="B228" s="7" t="s">
        <v>275</v>
      </c>
      <c r="C228" s="8">
        <v>62.8</v>
      </c>
      <c r="D228" s="8">
        <v>23.5</v>
      </c>
      <c r="E228" s="8">
        <v>44.5</v>
      </c>
      <c r="F228" s="8">
        <v>71.900000000000006</v>
      </c>
      <c r="G228" s="8">
        <v>63.3</v>
      </c>
      <c r="H228" s="8">
        <v>116.4</v>
      </c>
    </row>
    <row r="229" spans="1:8" ht="20" x14ac:dyDescent="0.2">
      <c r="A229" s="9">
        <v>228</v>
      </c>
      <c r="B229" s="7" t="s">
        <v>276</v>
      </c>
      <c r="C229" s="8">
        <v>62.7</v>
      </c>
      <c r="D229" s="8">
        <v>25.4</v>
      </c>
      <c r="E229" s="8">
        <v>45.4</v>
      </c>
      <c r="F229" s="8">
        <v>70.3</v>
      </c>
      <c r="G229" s="8">
        <v>63.9</v>
      </c>
      <c r="H229" s="8">
        <v>135.5</v>
      </c>
    </row>
    <row r="230" spans="1:8" ht="20" x14ac:dyDescent="0.2">
      <c r="A230" s="9">
        <v>229</v>
      </c>
      <c r="B230" s="7" t="s">
        <v>277</v>
      </c>
      <c r="C230" s="8">
        <v>62.7</v>
      </c>
      <c r="D230" s="8">
        <v>32.6</v>
      </c>
      <c r="E230" s="8">
        <v>48.7</v>
      </c>
      <c r="F230" s="8">
        <v>73.2</v>
      </c>
      <c r="G230" s="8">
        <v>62.3</v>
      </c>
      <c r="H230" s="8">
        <v>111.7</v>
      </c>
    </row>
    <row r="231" spans="1:8" ht="20" x14ac:dyDescent="0.2">
      <c r="A231" s="9">
        <v>230</v>
      </c>
      <c r="B231" s="7" t="s">
        <v>278</v>
      </c>
      <c r="C231" s="8">
        <v>62.6</v>
      </c>
      <c r="D231" s="8">
        <v>31.9</v>
      </c>
      <c r="E231" s="8">
        <v>48.3</v>
      </c>
      <c r="F231" s="8">
        <v>68</v>
      </c>
      <c r="G231" s="8">
        <v>67.099999999999994</v>
      </c>
      <c r="H231" s="8">
        <v>125</v>
      </c>
    </row>
    <row r="232" spans="1:8" ht="20" x14ac:dyDescent="0.2">
      <c r="A232" s="9">
        <v>231</v>
      </c>
      <c r="B232" s="7" t="s">
        <v>279</v>
      </c>
      <c r="C232" s="8">
        <v>62.6</v>
      </c>
      <c r="D232" s="8">
        <v>29.8</v>
      </c>
      <c r="E232" s="8">
        <v>47.3</v>
      </c>
      <c r="F232" s="8">
        <v>72.599999999999994</v>
      </c>
      <c r="G232" s="8">
        <v>64.5</v>
      </c>
      <c r="H232" s="8">
        <v>128</v>
      </c>
    </row>
    <row r="233" spans="1:8" ht="20" x14ac:dyDescent="0.2">
      <c r="A233" s="9">
        <v>232</v>
      </c>
      <c r="B233" s="7" t="s">
        <v>280</v>
      </c>
      <c r="C233" s="8">
        <v>62.6</v>
      </c>
      <c r="D233" s="8">
        <v>31.7</v>
      </c>
      <c r="E233" s="8">
        <v>48.2</v>
      </c>
      <c r="F233" s="8">
        <v>69.5</v>
      </c>
      <c r="G233" s="8">
        <v>62.8</v>
      </c>
      <c r="H233" s="8">
        <v>161.6</v>
      </c>
    </row>
    <row r="234" spans="1:8" ht="20" x14ac:dyDescent="0.2">
      <c r="A234" s="9">
        <v>233</v>
      </c>
      <c r="B234" s="7" t="s">
        <v>281</v>
      </c>
      <c r="C234" s="8">
        <v>62.5</v>
      </c>
      <c r="D234" s="8">
        <v>34.5</v>
      </c>
      <c r="E234" s="8">
        <v>49.5</v>
      </c>
      <c r="F234" s="8">
        <v>55.6</v>
      </c>
      <c r="G234" s="8">
        <v>69.900000000000006</v>
      </c>
      <c r="H234" s="8">
        <v>111</v>
      </c>
    </row>
    <row r="235" spans="1:8" ht="20" x14ac:dyDescent="0.2">
      <c r="A235" s="9">
        <v>234</v>
      </c>
      <c r="B235" s="7" t="s">
        <v>282</v>
      </c>
      <c r="C235" s="8">
        <v>62.4</v>
      </c>
      <c r="D235" s="8">
        <v>33.5</v>
      </c>
      <c r="E235" s="8">
        <v>49</v>
      </c>
      <c r="F235" s="8">
        <v>58.6</v>
      </c>
      <c r="G235" s="8">
        <v>72.2</v>
      </c>
      <c r="H235" s="8">
        <v>86.7</v>
      </c>
    </row>
    <row r="236" spans="1:8" ht="20" x14ac:dyDescent="0.2">
      <c r="A236" s="9">
        <v>235</v>
      </c>
      <c r="B236" s="7" t="s">
        <v>283</v>
      </c>
      <c r="C236" s="8">
        <v>62.2</v>
      </c>
      <c r="D236" s="8">
        <v>17.8</v>
      </c>
      <c r="E236" s="8">
        <v>41.6</v>
      </c>
      <c r="F236" s="8">
        <v>57.3</v>
      </c>
      <c r="G236" s="8">
        <v>65.400000000000006</v>
      </c>
      <c r="H236" s="8">
        <v>131.80000000000001</v>
      </c>
    </row>
    <row r="237" spans="1:8" ht="20" x14ac:dyDescent="0.2">
      <c r="A237" s="9">
        <v>236</v>
      </c>
      <c r="B237" s="7" t="s">
        <v>284</v>
      </c>
      <c r="C237" s="8">
        <v>62</v>
      </c>
      <c r="D237" s="8">
        <v>23.4</v>
      </c>
      <c r="E237" s="8">
        <v>44</v>
      </c>
      <c r="F237" s="8">
        <v>70</v>
      </c>
      <c r="G237" s="8">
        <v>68.8</v>
      </c>
      <c r="H237" s="8">
        <v>118.3</v>
      </c>
    </row>
    <row r="238" spans="1:8" ht="20" x14ac:dyDescent="0.2">
      <c r="A238" s="9">
        <v>237</v>
      </c>
      <c r="B238" s="7" t="s">
        <v>285</v>
      </c>
      <c r="C238" s="8">
        <v>61.9</v>
      </c>
      <c r="D238" s="8">
        <v>28.2</v>
      </c>
      <c r="E238" s="8">
        <v>46.2</v>
      </c>
      <c r="F238" s="8">
        <v>66.2</v>
      </c>
      <c r="G238" s="8">
        <v>68.099999999999994</v>
      </c>
      <c r="H238" s="8">
        <v>129.30000000000001</v>
      </c>
    </row>
    <row r="239" spans="1:8" ht="20" x14ac:dyDescent="0.2">
      <c r="A239" s="9">
        <v>238</v>
      </c>
      <c r="B239" s="7" t="s">
        <v>286</v>
      </c>
      <c r="C239" s="8">
        <v>61.8</v>
      </c>
      <c r="D239" s="8">
        <v>29.1</v>
      </c>
      <c r="E239" s="8">
        <v>46.6</v>
      </c>
      <c r="F239" s="8">
        <v>73.7</v>
      </c>
      <c r="G239" s="8">
        <v>61.4</v>
      </c>
      <c r="H239" s="8">
        <v>169.3</v>
      </c>
    </row>
    <row r="240" spans="1:8" ht="20" x14ac:dyDescent="0.2">
      <c r="A240" s="9">
        <v>239</v>
      </c>
      <c r="B240" s="7" t="s">
        <v>287</v>
      </c>
      <c r="C240" s="8">
        <v>61.7</v>
      </c>
      <c r="D240" s="8">
        <v>26.9</v>
      </c>
      <c r="E240" s="8">
        <v>45.5</v>
      </c>
      <c r="F240" s="8">
        <v>67.400000000000006</v>
      </c>
      <c r="G240" s="8">
        <v>64.099999999999994</v>
      </c>
      <c r="H240" s="8">
        <v>138.69999999999999</v>
      </c>
    </row>
    <row r="241" spans="1:8" ht="20" x14ac:dyDescent="0.2">
      <c r="A241" s="9">
        <v>240</v>
      </c>
      <c r="B241" s="7" t="s">
        <v>288</v>
      </c>
      <c r="C241" s="8">
        <v>61.7</v>
      </c>
      <c r="D241" s="8">
        <v>18.399999999999999</v>
      </c>
      <c r="E241" s="8">
        <v>41.5</v>
      </c>
      <c r="F241" s="8">
        <v>66.099999999999994</v>
      </c>
      <c r="G241" s="8">
        <v>65.2</v>
      </c>
      <c r="H241" s="8">
        <v>98.7</v>
      </c>
    </row>
    <row r="242" spans="1:8" ht="20" x14ac:dyDescent="0.2">
      <c r="A242" s="9">
        <v>241</v>
      </c>
      <c r="B242" s="7" t="s">
        <v>289</v>
      </c>
      <c r="C242" s="8">
        <v>61.6</v>
      </c>
      <c r="D242" s="8">
        <v>51.4</v>
      </c>
      <c r="E242" s="8">
        <v>56.8</v>
      </c>
      <c r="F242" s="8">
        <v>46.9</v>
      </c>
      <c r="G242" s="8">
        <v>69.400000000000006</v>
      </c>
      <c r="H242" s="8">
        <v>130.5</v>
      </c>
    </row>
    <row r="243" spans="1:8" ht="20" x14ac:dyDescent="0.2">
      <c r="A243" s="9">
        <v>242</v>
      </c>
      <c r="B243" s="7" t="s">
        <v>290</v>
      </c>
      <c r="C243" s="8">
        <v>60.9</v>
      </c>
      <c r="D243" s="8">
        <v>18.399999999999999</v>
      </c>
      <c r="E243" s="8">
        <v>41.1</v>
      </c>
      <c r="F243" s="8">
        <v>62.5</v>
      </c>
      <c r="G243" s="8">
        <v>62.4</v>
      </c>
      <c r="H243" s="8">
        <v>86.3</v>
      </c>
    </row>
    <row r="244" spans="1:8" ht="20" x14ac:dyDescent="0.2">
      <c r="A244" s="9">
        <v>243</v>
      </c>
      <c r="B244" s="7" t="s">
        <v>291</v>
      </c>
      <c r="C244" s="8">
        <v>60.7</v>
      </c>
      <c r="D244" s="8">
        <v>30.8</v>
      </c>
      <c r="E244" s="8">
        <v>46.8</v>
      </c>
      <c r="F244" s="8">
        <v>61.6</v>
      </c>
      <c r="G244" s="8">
        <v>60.4</v>
      </c>
      <c r="H244" s="8">
        <v>87.7</v>
      </c>
    </row>
    <row r="245" spans="1:8" ht="20" x14ac:dyDescent="0.2">
      <c r="A245" s="9">
        <v>244</v>
      </c>
      <c r="B245" s="7" t="s">
        <v>292</v>
      </c>
      <c r="C245" s="8">
        <v>60.2</v>
      </c>
      <c r="D245" s="8">
        <v>25.4</v>
      </c>
      <c r="E245" s="8">
        <v>44</v>
      </c>
      <c r="F245" s="8">
        <v>67.099999999999994</v>
      </c>
      <c r="G245" s="8">
        <v>62.6</v>
      </c>
      <c r="H245" s="8">
        <v>118.6</v>
      </c>
    </row>
    <row r="246" spans="1:8" ht="20" x14ac:dyDescent="0.2">
      <c r="A246" s="9">
        <v>245</v>
      </c>
      <c r="B246" s="7" t="s">
        <v>293</v>
      </c>
      <c r="C246" s="8">
        <v>60.1</v>
      </c>
      <c r="D246" s="8">
        <v>31.3</v>
      </c>
      <c r="E246" s="8">
        <v>46.7</v>
      </c>
      <c r="F246" s="8">
        <v>64</v>
      </c>
      <c r="G246" s="8">
        <v>56.3</v>
      </c>
      <c r="H246" s="8">
        <v>121</v>
      </c>
    </row>
    <row r="247" spans="1:8" ht="20" x14ac:dyDescent="0.2">
      <c r="A247" s="9">
        <v>246</v>
      </c>
      <c r="B247" s="7" t="s">
        <v>294</v>
      </c>
      <c r="C247" s="8">
        <v>60.1</v>
      </c>
      <c r="D247" s="8">
        <v>27.2</v>
      </c>
      <c r="E247" s="8">
        <v>44.8</v>
      </c>
      <c r="F247" s="8">
        <v>66</v>
      </c>
      <c r="G247" s="8">
        <v>64.900000000000006</v>
      </c>
      <c r="H247" s="8">
        <v>130.6</v>
      </c>
    </row>
    <row r="248" spans="1:8" ht="20" x14ac:dyDescent="0.2">
      <c r="A248" s="9">
        <v>247</v>
      </c>
      <c r="B248" s="7" t="s">
        <v>295</v>
      </c>
      <c r="C248" s="8">
        <v>59.7</v>
      </c>
      <c r="D248" s="8">
        <v>18.399999999999999</v>
      </c>
      <c r="E248" s="8">
        <v>40.5</v>
      </c>
      <c r="F248" s="8">
        <v>61.8</v>
      </c>
      <c r="G248" s="8">
        <v>63.1</v>
      </c>
      <c r="H248" s="8">
        <v>99.8</v>
      </c>
    </row>
    <row r="249" spans="1:8" ht="20" x14ac:dyDescent="0.2">
      <c r="A249" s="9">
        <v>248</v>
      </c>
      <c r="B249" s="7" t="s">
        <v>296</v>
      </c>
      <c r="C249" s="8">
        <v>59.5</v>
      </c>
      <c r="D249" s="8">
        <v>28.5</v>
      </c>
      <c r="E249" s="8">
        <v>45.1</v>
      </c>
      <c r="F249" s="8">
        <v>60.1</v>
      </c>
      <c r="G249" s="8">
        <v>66.599999999999994</v>
      </c>
      <c r="H249" s="8">
        <v>172.7</v>
      </c>
    </row>
    <row r="250" spans="1:8" ht="20" x14ac:dyDescent="0.2">
      <c r="A250" s="9">
        <v>249</v>
      </c>
      <c r="B250" s="7" t="s">
        <v>297</v>
      </c>
      <c r="C250" s="8">
        <v>59.5</v>
      </c>
      <c r="D250" s="8">
        <v>23.5</v>
      </c>
      <c r="E250" s="8">
        <v>42.7</v>
      </c>
      <c r="F250" s="8">
        <v>60.4</v>
      </c>
      <c r="G250" s="8">
        <v>62.1</v>
      </c>
      <c r="H250" s="8">
        <v>81</v>
      </c>
    </row>
    <row r="251" spans="1:8" ht="20" x14ac:dyDescent="0.2">
      <c r="A251" s="9">
        <v>250</v>
      </c>
      <c r="B251" s="7" t="s">
        <v>298</v>
      </c>
      <c r="C251" s="8">
        <v>59.4</v>
      </c>
      <c r="D251" s="8">
        <v>23.4</v>
      </c>
      <c r="E251" s="8">
        <v>42.7</v>
      </c>
      <c r="F251" s="8">
        <v>66.5</v>
      </c>
      <c r="G251" s="8">
        <v>58.4</v>
      </c>
      <c r="H251" s="8">
        <v>119.1</v>
      </c>
    </row>
    <row r="252" spans="1:8" ht="20" x14ac:dyDescent="0.2">
      <c r="A252" s="9">
        <v>251</v>
      </c>
      <c r="B252" s="7" t="s">
        <v>299</v>
      </c>
      <c r="C252" s="8">
        <v>59.4</v>
      </c>
      <c r="D252" s="8">
        <v>20.2</v>
      </c>
      <c r="E252" s="8">
        <v>41.2</v>
      </c>
      <c r="F252" s="8">
        <v>67.8</v>
      </c>
      <c r="G252" s="8">
        <v>60.1</v>
      </c>
      <c r="H252" s="8">
        <v>138.9</v>
      </c>
    </row>
    <row r="253" spans="1:8" ht="20" x14ac:dyDescent="0.2">
      <c r="A253" s="9">
        <v>252</v>
      </c>
      <c r="B253" s="7" t="s">
        <v>300</v>
      </c>
      <c r="C253" s="8">
        <v>59.3</v>
      </c>
      <c r="D253" s="8">
        <v>32.6</v>
      </c>
      <c r="E253" s="8">
        <v>46.9</v>
      </c>
      <c r="F253" s="8">
        <v>58.4</v>
      </c>
      <c r="G253" s="8">
        <v>60.7</v>
      </c>
      <c r="H253" s="8">
        <v>106.4</v>
      </c>
    </row>
    <row r="254" spans="1:8" ht="20" x14ac:dyDescent="0.2">
      <c r="A254" s="9">
        <v>253</v>
      </c>
      <c r="B254" s="7" t="s">
        <v>301</v>
      </c>
      <c r="C254" s="8">
        <v>59.1</v>
      </c>
      <c r="D254" s="8">
        <v>15.5</v>
      </c>
      <c r="E254" s="8">
        <v>38.9</v>
      </c>
      <c r="F254" s="8">
        <v>55.2</v>
      </c>
      <c r="G254" s="8">
        <v>74.3</v>
      </c>
      <c r="H254" s="8">
        <v>93.3</v>
      </c>
    </row>
    <row r="255" spans="1:8" ht="20" x14ac:dyDescent="0.2">
      <c r="A255" s="9">
        <v>254</v>
      </c>
      <c r="B255" s="7" t="s">
        <v>302</v>
      </c>
      <c r="C255" s="8">
        <v>59</v>
      </c>
      <c r="D255" s="8">
        <v>29.6</v>
      </c>
      <c r="E255" s="8">
        <v>45.4</v>
      </c>
      <c r="F255" s="8">
        <v>63.8</v>
      </c>
      <c r="G255" s="8">
        <v>65.5</v>
      </c>
      <c r="H255" s="8">
        <v>121.5</v>
      </c>
    </row>
    <row r="256" spans="1:8" ht="20" x14ac:dyDescent="0.2">
      <c r="A256" s="9">
        <v>255</v>
      </c>
      <c r="B256" s="7" t="s">
        <v>303</v>
      </c>
      <c r="C256" s="8">
        <v>58.9</v>
      </c>
      <c r="D256" s="8">
        <v>21.6</v>
      </c>
      <c r="E256" s="8">
        <v>41.6</v>
      </c>
      <c r="F256" s="8">
        <v>70.5</v>
      </c>
      <c r="G256" s="8">
        <v>61.3</v>
      </c>
      <c r="H256" s="8">
        <v>118.3</v>
      </c>
    </row>
    <row r="257" spans="1:8" ht="20" x14ac:dyDescent="0.2">
      <c r="A257" s="9">
        <v>256</v>
      </c>
      <c r="B257" s="7" t="s">
        <v>304</v>
      </c>
      <c r="C257" s="8">
        <v>58.8</v>
      </c>
      <c r="D257" s="8">
        <v>33.6</v>
      </c>
      <c r="E257" s="8">
        <v>47.1</v>
      </c>
      <c r="F257" s="8">
        <v>56.5</v>
      </c>
      <c r="G257" s="8">
        <v>63.8</v>
      </c>
      <c r="H257" s="8">
        <v>99.3</v>
      </c>
    </row>
    <row r="258" spans="1:8" ht="20" x14ac:dyDescent="0.2">
      <c r="A258" s="9">
        <v>257</v>
      </c>
      <c r="B258" s="7" t="s">
        <v>305</v>
      </c>
      <c r="C258" s="8">
        <v>58.6</v>
      </c>
      <c r="D258" s="8">
        <v>14.3</v>
      </c>
      <c r="E258" s="8">
        <v>38</v>
      </c>
      <c r="F258" s="8">
        <v>56</v>
      </c>
      <c r="G258" s="8">
        <v>48.7</v>
      </c>
      <c r="H258" s="8">
        <v>95.7</v>
      </c>
    </row>
    <row r="259" spans="1:8" ht="20" x14ac:dyDescent="0.2">
      <c r="A259" s="9">
        <v>258</v>
      </c>
      <c r="B259" s="7" t="s">
        <v>306</v>
      </c>
      <c r="C259" s="8">
        <v>58.4</v>
      </c>
      <c r="D259" s="8">
        <v>15</v>
      </c>
      <c r="E259" s="8">
        <v>38.200000000000003</v>
      </c>
      <c r="F259" s="8">
        <v>59.6</v>
      </c>
      <c r="G259" s="8">
        <v>63.5</v>
      </c>
      <c r="H259" s="8">
        <v>104.3</v>
      </c>
    </row>
    <row r="260" spans="1:8" ht="20" x14ac:dyDescent="0.2">
      <c r="A260" s="9">
        <v>259</v>
      </c>
      <c r="B260" s="7" t="s">
        <v>307</v>
      </c>
      <c r="C260" s="8">
        <v>58.3</v>
      </c>
      <c r="D260" s="8">
        <v>28.5</v>
      </c>
      <c r="E260" s="8">
        <v>44.5</v>
      </c>
      <c r="F260" s="8">
        <v>52</v>
      </c>
      <c r="G260" s="8">
        <v>63.2</v>
      </c>
      <c r="H260" s="8">
        <v>90.2</v>
      </c>
    </row>
    <row r="261" spans="1:8" ht="20" x14ac:dyDescent="0.2">
      <c r="A261" s="9">
        <v>260</v>
      </c>
      <c r="B261" s="7" t="s">
        <v>308</v>
      </c>
      <c r="C261" s="8">
        <v>58.3</v>
      </c>
      <c r="D261" s="8">
        <v>17.600000000000001</v>
      </c>
      <c r="E261" s="8">
        <v>39.4</v>
      </c>
      <c r="F261" s="8">
        <v>58.1</v>
      </c>
      <c r="G261" s="8">
        <v>64.599999999999994</v>
      </c>
      <c r="H261" s="8">
        <v>118.7</v>
      </c>
    </row>
    <row r="262" spans="1:8" ht="20" x14ac:dyDescent="0.2">
      <c r="A262" s="9">
        <v>261</v>
      </c>
      <c r="B262" s="7" t="s">
        <v>309</v>
      </c>
      <c r="C262" s="8">
        <v>58.2</v>
      </c>
      <c r="D262" s="8">
        <v>28.5</v>
      </c>
      <c r="E262" s="8">
        <v>44.4</v>
      </c>
      <c r="F262" s="8">
        <v>52</v>
      </c>
      <c r="G262" s="8">
        <v>50.2</v>
      </c>
      <c r="H262" s="8">
        <v>100.8</v>
      </c>
    </row>
    <row r="263" spans="1:8" ht="20" x14ac:dyDescent="0.2">
      <c r="A263" s="9">
        <v>262</v>
      </c>
      <c r="B263" s="7" t="s">
        <v>310</v>
      </c>
      <c r="C263" s="8">
        <v>57.9</v>
      </c>
      <c r="D263" s="8">
        <v>26.3</v>
      </c>
      <c r="E263" s="8">
        <v>43.2</v>
      </c>
      <c r="F263" s="8">
        <v>60.7</v>
      </c>
      <c r="G263" s="8">
        <v>60.8</v>
      </c>
      <c r="H263" s="8">
        <v>137.6</v>
      </c>
    </row>
    <row r="264" spans="1:8" ht="20" x14ac:dyDescent="0.2">
      <c r="A264" s="9">
        <v>263</v>
      </c>
      <c r="B264" s="7" t="s">
        <v>311</v>
      </c>
      <c r="C264" s="8">
        <v>57.5</v>
      </c>
      <c r="D264" s="8">
        <v>25.2</v>
      </c>
      <c r="E264" s="8">
        <v>42.5</v>
      </c>
      <c r="F264" s="8">
        <v>53.2</v>
      </c>
      <c r="G264" s="8">
        <v>59.1</v>
      </c>
      <c r="H264" s="8">
        <v>91.1</v>
      </c>
    </row>
    <row r="265" spans="1:8" ht="20" x14ac:dyDescent="0.2">
      <c r="A265" s="9">
        <v>264</v>
      </c>
      <c r="B265" s="7" t="s">
        <v>312</v>
      </c>
      <c r="C265" s="8">
        <v>57.5</v>
      </c>
      <c r="D265" s="8">
        <v>24</v>
      </c>
      <c r="E265" s="8">
        <v>41.9</v>
      </c>
      <c r="F265" s="8">
        <v>53</v>
      </c>
      <c r="G265" s="8">
        <v>65.5</v>
      </c>
      <c r="H265" s="8">
        <v>76.7</v>
      </c>
    </row>
    <row r="266" spans="1:8" ht="20" x14ac:dyDescent="0.2">
      <c r="A266" s="9">
        <v>265</v>
      </c>
      <c r="B266" s="7" t="s">
        <v>313</v>
      </c>
      <c r="C266" s="8">
        <v>57.4</v>
      </c>
      <c r="D266" s="8">
        <v>20.2</v>
      </c>
      <c r="E266" s="8">
        <v>40.1</v>
      </c>
      <c r="F266" s="8">
        <v>54.5</v>
      </c>
      <c r="G266" s="8">
        <v>59.1</v>
      </c>
      <c r="H266" s="8">
        <v>84.7</v>
      </c>
    </row>
    <row r="267" spans="1:8" ht="20" x14ac:dyDescent="0.2">
      <c r="A267" s="9">
        <v>266</v>
      </c>
      <c r="B267" s="7" t="s">
        <v>314</v>
      </c>
      <c r="C267" s="8">
        <v>56.7</v>
      </c>
      <c r="D267" s="8">
        <v>14.1</v>
      </c>
      <c r="E267" s="8">
        <v>36.9</v>
      </c>
      <c r="F267" s="8">
        <v>50</v>
      </c>
      <c r="G267" s="8">
        <v>66.5</v>
      </c>
      <c r="H267" s="8">
        <v>104.6</v>
      </c>
    </row>
    <row r="268" spans="1:8" ht="20" x14ac:dyDescent="0.2">
      <c r="A268" s="9">
        <v>267</v>
      </c>
      <c r="B268" s="7" t="s">
        <v>315</v>
      </c>
      <c r="C268" s="8">
        <v>56.3</v>
      </c>
      <c r="D268" s="8">
        <v>14.3</v>
      </c>
      <c r="E268" s="8">
        <v>36.799999999999997</v>
      </c>
      <c r="F268" s="8">
        <v>56.2</v>
      </c>
      <c r="G268" s="8">
        <v>60.7</v>
      </c>
      <c r="H268" s="8">
        <v>68.2</v>
      </c>
    </row>
    <row r="269" spans="1:8" ht="20" x14ac:dyDescent="0.2">
      <c r="A269" s="9">
        <v>268</v>
      </c>
      <c r="B269" s="7" t="s">
        <v>316</v>
      </c>
      <c r="C269" s="8">
        <v>56.2</v>
      </c>
      <c r="D269" s="8">
        <v>16.899999999999999</v>
      </c>
      <c r="E269" s="8">
        <v>37.9</v>
      </c>
      <c r="F269" s="8">
        <v>54.6</v>
      </c>
      <c r="G269" s="8">
        <v>62</v>
      </c>
      <c r="H269" s="8">
        <v>68.8</v>
      </c>
    </row>
    <row r="270" spans="1:8" ht="20" x14ac:dyDescent="0.2">
      <c r="A270" s="9">
        <v>269</v>
      </c>
      <c r="B270" s="7" t="s">
        <v>317</v>
      </c>
      <c r="C270" s="8">
        <v>56.2</v>
      </c>
      <c r="D270" s="8">
        <v>19.399999999999999</v>
      </c>
      <c r="E270" s="8">
        <v>39.1</v>
      </c>
      <c r="F270" s="8">
        <v>56.3</v>
      </c>
      <c r="G270" s="8">
        <v>57.4</v>
      </c>
      <c r="H270" s="8">
        <v>97.4</v>
      </c>
    </row>
    <row r="271" spans="1:8" ht="20" x14ac:dyDescent="0.2">
      <c r="A271" s="9">
        <v>270</v>
      </c>
      <c r="B271" s="7" t="s">
        <v>318</v>
      </c>
      <c r="C271" s="8">
        <v>56</v>
      </c>
      <c r="D271" s="8">
        <v>20.7</v>
      </c>
      <c r="E271" s="8">
        <v>39.6</v>
      </c>
      <c r="F271" s="8">
        <v>64.8</v>
      </c>
      <c r="G271" s="8">
        <v>51.9</v>
      </c>
      <c r="H271" s="8">
        <v>48.6</v>
      </c>
    </row>
    <row r="272" spans="1:8" ht="20" x14ac:dyDescent="0.2">
      <c r="A272" s="9">
        <v>271</v>
      </c>
      <c r="B272" s="7" t="s">
        <v>319</v>
      </c>
      <c r="C272" s="8">
        <v>55.9</v>
      </c>
      <c r="D272" s="8">
        <v>27.7</v>
      </c>
      <c r="E272" s="8">
        <v>42.8</v>
      </c>
      <c r="F272" s="8">
        <v>52.3</v>
      </c>
      <c r="G272" s="8">
        <v>58.6</v>
      </c>
      <c r="H272" s="8">
        <v>91.1</v>
      </c>
    </row>
    <row r="273" spans="1:8" ht="20" x14ac:dyDescent="0.2">
      <c r="A273" s="9">
        <v>272</v>
      </c>
      <c r="B273" s="7" t="s">
        <v>320</v>
      </c>
      <c r="C273" s="8">
        <v>55.8</v>
      </c>
      <c r="D273" s="8">
        <v>29.6</v>
      </c>
      <c r="E273" s="8">
        <v>43.6</v>
      </c>
      <c r="F273" s="8">
        <v>61.9</v>
      </c>
      <c r="G273" s="8">
        <v>61.9</v>
      </c>
      <c r="H273" s="8">
        <v>135.1</v>
      </c>
    </row>
    <row r="274" spans="1:8" ht="20" x14ac:dyDescent="0.2">
      <c r="A274" s="9">
        <v>273</v>
      </c>
      <c r="B274" s="7" t="s">
        <v>321</v>
      </c>
      <c r="C274" s="8">
        <v>55.4</v>
      </c>
      <c r="D274" s="8">
        <v>21.3</v>
      </c>
      <c r="E274" s="8">
        <v>39.6</v>
      </c>
      <c r="F274" s="8">
        <v>52.7</v>
      </c>
      <c r="G274" s="8">
        <v>54.9</v>
      </c>
      <c r="H274" s="8">
        <v>84.2</v>
      </c>
    </row>
    <row r="275" spans="1:8" ht="20" x14ac:dyDescent="0.2">
      <c r="A275" s="9">
        <v>274</v>
      </c>
      <c r="B275" s="7" t="s">
        <v>322</v>
      </c>
      <c r="C275" s="8">
        <v>55.3</v>
      </c>
      <c r="D275" s="8">
        <v>15.2</v>
      </c>
      <c r="E275" s="8">
        <v>36.6</v>
      </c>
      <c r="F275" s="8">
        <v>52.3</v>
      </c>
      <c r="G275" s="8">
        <v>55.6</v>
      </c>
      <c r="H275" s="8">
        <v>61.6</v>
      </c>
    </row>
    <row r="276" spans="1:8" ht="20" x14ac:dyDescent="0.2">
      <c r="A276" s="9">
        <v>275</v>
      </c>
      <c r="B276" s="7" t="s">
        <v>323</v>
      </c>
      <c r="C276" s="8">
        <v>55.2</v>
      </c>
      <c r="D276" s="8">
        <v>14.4</v>
      </c>
      <c r="E276" s="8">
        <v>36.200000000000003</v>
      </c>
      <c r="F276" s="8">
        <v>58.3</v>
      </c>
      <c r="G276" s="8">
        <v>55.5</v>
      </c>
      <c r="H276" s="8">
        <v>84.5</v>
      </c>
    </row>
    <row r="277" spans="1:8" ht="20" x14ac:dyDescent="0.2">
      <c r="A277" s="9">
        <v>276</v>
      </c>
      <c r="B277" s="7" t="s">
        <v>324</v>
      </c>
      <c r="C277" s="8">
        <v>54.9</v>
      </c>
      <c r="D277" s="8">
        <v>23.2</v>
      </c>
      <c r="E277" s="8">
        <v>40.200000000000003</v>
      </c>
      <c r="F277" s="8">
        <v>63.9</v>
      </c>
      <c r="G277" s="8">
        <v>35.799999999999997</v>
      </c>
      <c r="H277" s="8">
        <v>124.1</v>
      </c>
    </row>
    <row r="278" spans="1:8" ht="20" x14ac:dyDescent="0.2">
      <c r="A278" s="9">
        <v>277</v>
      </c>
      <c r="B278" s="7" t="s">
        <v>325</v>
      </c>
      <c r="C278" s="8">
        <v>54.8</v>
      </c>
      <c r="D278" s="8">
        <v>28.2</v>
      </c>
      <c r="E278" s="8">
        <v>42.4</v>
      </c>
      <c r="F278" s="8">
        <v>49.9</v>
      </c>
      <c r="G278" s="8">
        <v>64.099999999999994</v>
      </c>
      <c r="H278" s="8">
        <v>105.9</v>
      </c>
    </row>
    <row r="279" spans="1:8" ht="20" x14ac:dyDescent="0.2">
      <c r="A279" s="9">
        <v>278</v>
      </c>
      <c r="B279" s="7" t="s">
        <v>326</v>
      </c>
      <c r="C279" s="8">
        <v>54</v>
      </c>
      <c r="D279" s="8">
        <v>13.6</v>
      </c>
      <c r="E279" s="8">
        <v>35.200000000000003</v>
      </c>
      <c r="F279" s="8">
        <v>52.5</v>
      </c>
      <c r="G279" s="8">
        <v>62.7</v>
      </c>
      <c r="H279" s="8">
        <v>63.6</v>
      </c>
    </row>
    <row r="280" spans="1:8" ht="20" x14ac:dyDescent="0.2">
      <c r="A280" s="9">
        <v>279</v>
      </c>
      <c r="B280" s="7" t="s">
        <v>327</v>
      </c>
      <c r="C280" s="8">
        <v>54</v>
      </c>
      <c r="D280" s="8">
        <v>17.3</v>
      </c>
      <c r="E280" s="8">
        <v>36.9</v>
      </c>
      <c r="F280" s="8">
        <v>52.6</v>
      </c>
      <c r="G280" s="8">
        <v>62.3</v>
      </c>
      <c r="H280" s="8">
        <v>109</v>
      </c>
    </row>
    <row r="281" spans="1:8" ht="20" x14ac:dyDescent="0.2">
      <c r="A281" s="9">
        <v>280</v>
      </c>
      <c r="B281" s="7" t="s">
        <v>328</v>
      </c>
      <c r="C281" s="8">
        <v>53.7</v>
      </c>
      <c r="D281" s="8">
        <v>19.5</v>
      </c>
      <c r="E281" s="8">
        <v>37.799999999999997</v>
      </c>
      <c r="F281" s="8">
        <v>49.2</v>
      </c>
      <c r="G281" s="8">
        <v>48.4</v>
      </c>
      <c r="H281" s="8">
        <v>85.6</v>
      </c>
    </row>
    <row r="282" spans="1:8" ht="20" x14ac:dyDescent="0.2">
      <c r="A282" s="9">
        <v>281</v>
      </c>
      <c r="B282" s="7" t="s">
        <v>329</v>
      </c>
      <c r="C282" s="8">
        <v>53.6</v>
      </c>
      <c r="D282" s="8">
        <v>17.7</v>
      </c>
      <c r="E282" s="8">
        <v>36.9</v>
      </c>
      <c r="F282" s="8">
        <v>67.400000000000006</v>
      </c>
      <c r="G282" s="8">
        <v>33.6</v>
      </c>
      <c r="H282" s="8">
        <v>85</v>
      </c>
    </row>
    <row r="283" spans="1:8" ht="20" x14ac:dyDescent="0.2">
      <c r="A283" s="9">
        <v>282</v>
      </c>
      <c r="B283" s="7" t="s">
        <v>330</v>
      </c>
      <c r="C283" s="8">
        <v>53.4</v>
      </c>
      <c r="D283" s="8">
        <v>13.1</v>
      </c>
      <c r="E283" s="8">
        <v>34.700000000000003</v>
      </c>
      <c r="F283" s="8">
        <v>47.9</v>
      </c>
      <c r="G283" s="8">
        <v>55.3</v>
      </c>
      <c r="H283" s="8">
        <v>89.7</v>
      </c>
    </row>
    <row r="284" spans="1:8" ht="20" x14ac:dyDescent="0.2">
      <c r="A284" s="9">
        <v>283</v>
      </c>
      <c r="B284" s="7" t="s">
        <v>331</v>
      </c>
      <c r="C284" s="8">
        <v>53.3</v>
      </c>
      <c r="D284" s="8">
        <v>34.200000000000003</v>
      </c>
      <c r="E284" s="8">
        <v>44.4</v>
      </c>
      <c r="F284" s="8">
        <v>49.2</v>
      </c>
      <c r="G284" s="8">
        <v>51.7</v>
      </c>
      <c r="H284" s="8">
        <v>69</v>
      </c>
    </row>
    <row r="285" spans="1:8" ht="20" x14ac:dyDescent="0.2">
      <c r="A285" s="9">
        <v>284</v>
      </c>
      <c r="B285" s="7" t="s">
        <v>332</v>
      </c>
      <c r="C285" s="8">
        <v>53.3</v>
      </c>
      <c r="D285" s="8">
        <v>21</v>
      </c>
      <c r="E285" s="8">
        <v>38.299999999999997</v>
      </c>
      <c r="F285" s="8">
        <v>49.6</v>
      </c>
      <c r="G285" s="8">
        <v>52.4</v>
      </c>
      <c r="H285" s="8">
        <v>95.8</v>
      </c>
    </row>
    <row r="286" spans="1:8" ht="20" x14ac:dyDescent="0.2">
      <c r="A286" s="9">
        <v>285</v>
      </c>
      <c r="B286" s="7" t="s">
        <v>333</v>
      </c>
      <c r="C286" s="8">
        <v>53.1</v>
      </c>
      <c r="D286" s="8">
        <v>43.7</v>
      </c>
      <c r="E286" s="8">
        <v>48.7</v>
      </c>
      <c r="F286" s="8">
        <v>42.4</v>
      </c>
      <c r="G286" s="8">
        <v>67</v>
      </c>
      <c r="H286" s="8">
        <v>116.5</v>
      </c>
    </row>
    <row r="287" spans="1:8" ht="20" x14ac:dyDescent="0.2">
      <c r="A287" s="9">
        <v>286</v>
      </c>
      <c r="B287" s="7" t="s">
        <v>334</v>
      </c>
      <c r="C287" s="8">
        <v>52.9</v>
      </c>
      <c r="D287" s="8">
        <v>18.899999999999999</v>
      </c>
      <c r="E287" s="8">
        <v>37.1</v>
      </c>
      <c r="F287" s="8">
        <v>52</v>
      </c>
      <c r="G287" s="8">
        <v>53.2</v>
      </c>
      <c r="H287" s="8">
        <v>101.7</v>
      </c>
    </row>
    <row r="288" spans="1:8" ht="20" x14ac:dyDescent="0.2">
      <c r="A288" s="9">
        <v>287</v>
      </c>
      <c r="B288" s="7" t="s">
        <v>335</v>
      </c>
      <c r="C288" s="8">
        <v>52.9</v>
      </c>
      <c r="D288" s="8">
        <v>15.3</v>
      </c>
      <c r="E288" s="8">
        <v>35.4</v>
      </c>
      <c r="F288" s="8">
        <v>50.2</v>
      </c>
      <c r="G288" s="8">
        <v>56.2</v>
      </c>
      <c r="H288" s="8">
        <v>84.7</v>
      </c>
    </row>
    <row r="289" spans="1:8" ht="20" x14ac:dyDescent="0.2">
      <c r="A289" s="9">
        <v>288</v>
      </c>
      <c r="B289" s="7" t="s">
        <v>336</v>
      </c>
      <c r="C289" s="8">
        <v>52.6</v>
      </c>
      <c r="D289" s="8">
        <v>43.3</v>
      </c>
      <c r="E289" s="8">
        <v>48.3</v>
      </c>
      <c r="F289" s="8">
        <v>45.7</v>
      </c>
      <c r="G289" s="8">
        <v>58.2</v>
      </c>
      <c r="H289" s="8">
        <v>108.4</v>
      </c>
    </row>
    <row r="290" spans="1:8" ht="20" x14ac:dyDescent="0.2">
      <c r="A290" s="9">
        <v>289</v>
      </c>
      <c r="B290" s="7" t="s">
        <v>337</v>
      </c>
      <c r="C290" s="8">
        <v>52.4</v>
      </c>
      <c r="D290" s="8">
        <v>14.1</v>
      </c>
      <c r="E290" s="8">
        <v>34.6</v>
      </c>
      <c r="F290" s="8">
        <v>48.1</v>
      </c>
      <c r="G290" s="8">
        <v>57.7</v>
      </c>
      <c r="H290" s="8">
        <v>111.8</v>
      </c>
    </row>
    <row r="291" spans="1:8" ht="20" x14ac:dyDescent="0.2">
      <c r="A291" s="9">
        <v>290</v>
      </c>
      <c r="B291" s="7" t="s">
        <v>338</v>
      </c>
      <c r="C291" s="8">
        <v>52.4</v>
      </c>
      <c r="D291" s="8">
        <v>16.2</v>
      </c>
      <c r="E291" s="8">
        <v>35.6</v>
      </c>
      <c r="F291" s="8">
        <v>70.8</v>
      </c>
      <c r="G291" s="8">
        <v>25.2</v>
      </c>
      <c r="H291" s="8">
        <v>73.8</v>
      </c>
    </row>
    <row r="292" spans="1:8" ht="20" x14ac:dyDescent="0.2">
      <c r="A292" s="9">
        <v>291</v>
      </c>
      <c r="B292" s="7" t="s">
        <v>339</v>
      </c>
      <c r="C292" s="8">
        <v>51.9</v>
      </c>
      <c r="D292" s="8">
        <v>20.8</v>
      </c>
      <c r="E292" s="8">
        <v>37.5</v>
      </c>
      <c r="F292" s="8">
        <v>49.8</v>
      </c>
      <c r="G292" s="8">
        <v>42.7</v>
      </c>
      <c r="H292" s="8">
        <v>100.9</v>
      </c>
    </row>
    <row r="293" spans="1:8" ht="20" x14ac:dyDescent="0.2">
      <c r="A293" s="9">
        <v>292</v>
      </c>
      <c r="B293" s="7" t="s">
        <v>340</v>
      </c>
      <c r="C293" s="8">
        <v>51.9</v>
      </c>
      <c r="D293" s="8">
        <v>26.3</v>
      </c>
      <c r="E293" s="8">
        <v>40</v>
      </c>
      <c r="F293" s="8">
        <v>45.8</v>
      </c>
      <c r="G293" s="8">
        <v>51.7</v>
      </c>
      <c r="H293" s="8">
        <v>106.7</v>
      </c>
    </row>
    <row r="294" spans="1:8" ht="20" x14ac:dyDescent="0.2">
      <c r="A294" s="9">
        <v>293</v>
      </c>
      <c r="B294" s="7" t="s">
        <v>341</v>
      </c>
      <c r="C294" s="8">
        <v>51.7</v>
      </c>
      <c r="D294" s="8">
        <v>18</v>
      </c>
      <c r="E294" s="8">
        <v>36.1</v>
      </c>
      <c r="F294" s="8">
        <v>45.1</v>
      </c>
      <c r="G294" s="8">
        <v>57.9</v>
      </c>
      <c r="H294" s="8">
        <v>101.3</v>
      </c>
    </row>
    <row r="295" spans="1:8" ht="20" x14ac:dyDescent="0.2">
      <c r="A295" s="9">
        <v>294</v>
      </c>
      <c r="B295" s="7" t="s">
        <v>342</v>
      </c>
      <c r="C295" s="8">
        <v>51.7</v>
      </c>
      <c r="D295" s="8">
        <v>12.5</v>
      </c>
      <c r="E295" s="8">
        <v>33.5</v>
      </c>
      <c r="F295" s="8">
        <v>50.3</v>
      </c>
      <c r="G295" s="8">
        <v>57.4</v>
      </c>
      <c r="H295" s="8">
        <v>89.5</v>
      </c>
    </row>
    <row r="296" spans="1:8" ht="20" x14ac:dyDescent="0.2">
      <c r="A296" s="9">
        <v>295</v>
      </c>
      <c r="B296" s="7" t="s">
        <v>343</v>
      </c>
      <c r="C296" s="8">
        <v>51.4</v>
      </c>
      <c r="D296" s="8">
        <v>21.3</v>
      </c>
      <c r="E296" s="8">
        <v>37.4</v>
      </c>
      <c r="F296" s="8">
        <v>53.1</v>
      </c>
      <c r="G296" s="8">
        <v>55.2</v>
      </c>
      <c r="H296" s="8">
        <v>104.5</v>
      </c>
    </row>
    <row r="297" spans="1:8" ht="20" x14ac:dyDescent="0.2">
      <c r="A297" s="9">
        <v>296</v>
      </c>
      <c r="B297" s="7" t="s">
        <v>344</v>
      </c>
      <c r="C297" s="8">
        <v>51.1</v>
      </c>
      <c r="D297" s="8">
        <v>27.5</v>
      </c>
      <c r="E297" s="8">
        <v>40.200000000000003</v>
      </c>
      <c r="F297" s="8">
        <v>46.4</v>
      </c>
      <c r="G297" s="8">
        <v>59.6</v>
      </c>
      <c r="H297" s="8">
        <v>101.5</v>
      </c>
    </row>
    <row r="298" spans="1:8" ht="20" x14ac:dyDescent="0.2">
      <c r="A298" s="9">
        <v>297</v>
      </c>
      <c r="B298" s="7" t="s">
        <v>345</v>
      </c>
      <c r="C298" s="8">
        <v>51.1</v>
      </c>
      <c r="D298" s="8">
        <v>21.3</v>
      </c>
      <c r="E298" s="8">
        <v>37.299999999999997</v>
      </c>
      <c r="F298" s="8">
        <v>50.2</v>
      </c>
      <c r="G298" s="8">
        <v>46.9</v>
      </c>
      <c r="H298" s="8">
        <v>78.8</v>
      </c>
    </row>
    <row r="299" spans="1:8" ht="20" x14ac:dyDescent="0.2">
      <c r="A299" s="9">
        <v>298</v>
      </c>
      <c r="B299" s="7" t="s">
        <v>346</v>
      </c>
      <c r="C299" s="8">
        <v>51</v>
      </c>
      <c r="D299" s="8">
        <v>28.3</v>
      </c>
      <c r="E299" s="8">
        <v>40.4</v>
      </c>
      <c r="F299" s="8">
        <v>49.5</v>
      </c>
      <c r="G299" s="8">
        <v>58.2</v>
      </c>
      <c r="H299" s="8">
        <v>86.4</v>
      </c>
    </row>
    <row r="300" spans="1:8" ht="20" x14ac:dyDescent="0.2">
      <c r="A300" s="9">
        <v>299</v>
      </c>
      <c r="B300" s="7" t="s">
        <v>347</v>
      </c>
      <c r="C300" s="8">
        <v>50.7</v>
      </c>
      <c r="D300" s="8">
        <v>21.1</v>
      </c>
      <c r="E300" s="8">
        <v>37</v>
      </c>
      <c r="F300" s="8">
        <v>41.9</v>
      </c>
      <c r="G300" s="8">
        <v>38.200000000000003</v>
      </c>
      <c r="H300" s="8">
        <v>128.80000000000001</v>
      </c>
    </row>
    <row r="301" spans="1:8" ht="20" x14ac:dyDescent="0.2">
      <c r="A301" s="9">
        <v>300</v>
      </c>
      <c r="B301" s="7" t="s">
        <v>348</v>
      </c>
      <c r="C301" s="8">
        <v>50.5</v>
      </c>
      <c r="D301" s="8">
        <v>19.100000000000001</v>
      </c>
      <c r="E301" s="8">
        <v>35.9</v>
      </c>
      <c r="F301" s="8">
        <v>44.1</v>
      </c>
      <c r="G301" s="8">
        <v>50.8</v>
      </c>
      <c r="H301" s="8">
        <v>34.9</v>
      </c>
    </row>
    <row r="302" spans="1:8" ht="20" x14ac:dyDescent="0.2">
      <c r="A302" s="9">
        <v>301</v>
      </c>
      <c r="B302" s="7" t="s">
        <v>349</v>
      </c>
      <c r="C302" s="8">
        <v>50</v>
      </c>
      <c r="D302" s="8">
        <v>14.4</v>
      </c>
      <c r="E302" s="8">
        <v>33.4</v>
      </c>
      <c r="F302" s="8">
        <v>50.5</v>
      </c>
      <c r="G302" s="8">
        <v>42.6</v>
      </c>
      <c r="H302" s="8">
        <v>117.8</v>
      </c>
    </row>
    <row r="303" spans="1:8" ht="20" x14ac:dyDescent="0.2">
      <c r="A303" s="9">
        <v>302</v>
      </c>
      <c r="B303" s="7" t="s">
        <v>350</v>
      </c>
      <c r="C303" s="8">
        <v>50</v>
      </c>
      <c r="D303" s="8">
        <v>22</v>
      </c>
      <c r="E303" s="8">
        <v>36.9</v>
      </c>
      <c r="F303" s="8">
        <v>54.7</v>
      </c>
      <c r="G303" s="8">
        <v>52.2</v>
      </c>
      <c r="H303" s="8">
        <v>53.5</v>
      </c>
    </row>
    <row r="304" spans="1:8" ht="20" x14ac:dyDescent="0.2">
      <c r="A304" s="9">
        <v>303</v>
      </c>
      <c r="B304" s="7" t="s">
        <v>351</v>
      </c>
      <c r="C304" s="8">
        <v>49.9</v>
      </c>
      <c r="D304" s="8">
        <v>19.100000000000001</v>
      </c>
      <c r="E304" s="8">
        <v>35.6</v>
      </c>
      <c r="F304" s="8">
        <v>46.4</v>
      </c>
      <c r="G304" s="8">
        <v>50.4</v>
      </c>
      <c r="H304" s="8">
        <v>88.4</v>
      </c>
    </row>
    <row r="305" spans="1:8" ht="20" x14ac:dyDescent="0.2">
      <c r="A305" s="9">
        <v>304</v>
      </c>
      <c r="B305" s="7" t="s">
        <v>352</v>
      </c>
      <c r="C305" s="8">
        <v>49.8</v>
      </c>
      <c r="D305" s="8">
        <v>17.3</v>
      </c>
      <c r="E305" s="8">
        <v>34.700000000000003</v>
      </c>
      <c r="F305" s="8">
        <v>46.4</v>
      </c>
      <c r="G305" s="8">
        <v>64.400000000000006</v>
      </c>
      <c r="H305" s="8">
        <v>44.9</v>
      </c>
    </row>
    <row r="306" spans="1:8" ht="20" x14ac:dyDescent="0.2">
      <c r="A306" s="9">
        <v>305</v>
      </c>
      <c r="B306" s="7" t="s">
        <v>353</v>
      </c>
      <c r="C306" s="8">
        <v>49.5</v>
      </c>
      <c r="D306" s="8">
        <v>21</v>
      </c>
      <c r="E306" s="8">
        <v>36.200000000000003</v>
      </c>
      <c r="F306" s="8">
        <v>53.4</v>
      </c>
      <c r="G306" s="8">
        <v>50.6</v>
      </c>
      <c r="H306" s="8">
        <v>95.9</v>
      </c>
    </row>
    <row r="307" spans="1:8" ht="20" x14ac:dyDescent="0.2">
      <c r="A307" s="9">
        <v>306</v>
      </c>
      <c r="B307" s="7" t="s">
        <v>354</v>
      </c>
      <c r="C307" s="8">
        <v>49.3</v>
      </c>
      <c r="D307" s="8">
        <v>19.600000000000001</v>
      </c>
      <c r="E307" s="8">
        <v>35.5</v>
      </c>
      <c r="F307" s="8">
        <v>42</v>
      </c>
      <c r="G307" s="8">
        <v>52.1</v>
      </c>
      <c r="H307" s="8">
        <v>101.3</v>
      </c>
    </row>
    <row r="308" spans="1:8" ht="20" x14ac:dyDescent="0.2">
      <c r="A308" s="9">
        <v>307</v>
      </c>
      <c r="B308" s="7" t="s">
        <v>355</v>
      </c>
      <c r="C308" s="8">
        <v>49.3</v>
      </c>
      <c r="D308" s="8">
        <v>27.6</v>
      </c>
      <c r="E308" s="8">
        <v>39.200000000000003</v>
      </c>
      <c r="F308" s="8">
        <v>47.4</v>
      </c>
      <c r="G308" s="8">
        <v>48.4</v>
      </c>
      <c r="H308" s="8">
        <v>75.2</v>
      </c>
    </row>
    <row r="309" spans="1:8" ht="20" x14ac:dyDescent="0.2">
      <c r="A309" s="9">
        <v>308</v>
      </c>
      <c r="B309" s="7" t="s">
        <v>356</v>
      </c>
      <c r="C309" s="8">
        <v>49.3</v>
      </c>
      <c r="D309" s="8">
        <v>17.399999999999999</v>
      </c>
      <c r="E309" s="8">
        <v>34.5</v>
      </c>
      <c r="F309" s="8">
        <v>49.6</v>
      </c>
      <c r="G309" s="8">
        <v>48.4</v>
      </c>
      <c r="H309" s="8">
        <v>47.3</v>
      </c>
    </row>
    <row r="310" spans="1:8" ht="20" x14ac:dyDescent="0.2">
      <c r="A310" s="9">
        <v>309</v>
      </c>
      <c r="B310" s="7" t="s">
        <v>357</v>
      </c>
      <c r="C310" s="8">
        <v>49</v>
      </c>
      <c r="D310" s="8">
        <v>20.2</v>
      </c>
      <c r="E310" s="8">
        <v>35.6</v>
      </c>
      <c r="F310" s="8">
        <v>41.6</v>
      </c>
      <c r="G310" s="8">
        <v>50.5</v>
      </c>
      <c r="H310" s="8">
        <v>106.7</v>
      </c>
    </row>
    <row r="311" spans="1:8" ht="20" x14ac:dyDescent="0.2">
      <c r="A311" s="9">
        <v>310</v>
      </c>
      <c r="B311" s="7" t="s">
        <v>358</v>
      </c>
      <c r="C311" s="8">
        <v>48.9</v>
      </c>
      <c r="D311" s="8">
        <v>14.8</v>
      </c>
      <c r="E311" s="8">
        <v>33</v>
      </c>
      <c r="F311" s="8">
        <v>49.6</v>
      </c>
      <c r="G311" s="8">
        <v>43.3</v>
      </c>
      <c r="H311" s="8">
        <v>98.4</v>
      </c>
    </row>
    <row r="312" spans="1:8" ht="20" x14ac:dyDescent="0.2">
      <c r="A312" s="9">
        <v>311</v>
      </c>
      <c r="B312" s="7" t="s">
        <v>359</v>
      </c>
      <c r="C312" s="8">
        <v>48.9</v>
      </c>
      <c r="D312" s="8">
        <v>17</v>
      </c>
      <c r="E312" s="8">
        <v>34</v>
      </c>
      <c r="F312" s="8">
        <v>48.6</v>
      </c>
      <c r="G312" s="8">
        <v>49.5</v>
      </c>
      <c r="H312" s="8">
        <v>111</v>
      </c>
    </row>
    <row r="313" spans="1:8" ht="20" x14ac:dyDescent="0.2">
      <c r="A313" s="9">
        <v>312</v>
      </c>
      <c r="B313" s="7" t="s">
        <v>360</v>
      </c>
      <c r="C313" s="8">
        <v>48.7</v>
      </c>
      <c r="D313" s="8">
        <v>19.600000000000001</v>
      </c>
      <c r="E313" s="8">
        <v>35.200000000000003</v>
      </c>
      <c r="F313" s="8">
        <v>41.5</v>
      </c>
      <c r="G313" s="8">
        <v>50.4</v>
      </c>
      <c r="H313" s="8">
        <v>102.6</v>
      </c>
    </row>
    <row r="314" spans="1:8" ht="20" x14ac:dyDescent="0.2">
      <c r="A314" s="9">
        <v>313</v>
      </c>
      <c r="B314" s="7" t="s">
        <v>361</v>
      </c>
      <c r="C314" s="8">
        <v>48.7</v>
      </c>
      <c r="D314" s="8">
        <v>16.5</v>
      </c>
      <c r="E314" s="8">
        <v>33.700000000000003</v>
      </c>
      <c r="F314" s="8">
        <v>41.9</v>
      </c>
      <c r="G314" s="8">
        <v>49</v>
      </c>
      <c r="H314" s="8">
        <v>122.5</v>
      </c>
    </row>
    <row r="315" spans="1:8" ht="20" x14ac:dyDescent="0.2">
      <c r="A315" s="9">
        <v>314</v>
      </c>
      <c r="B315" s="7" t="s">
        <v>362</v>
      </c>
      <c r="C315" s="8">
        <v>48.6</v>
      </c>
      <c r="D315" s="8">
        <v>14.6</v>
      </c>
      <c r="E315" s="8">
        <v>32.799999999999997</v>
      </c>
      <c r="F315" s="8">
        <v>42.9</v>
      </c>
      <c r="G315" s="8">
        <v>42.7</v>
      </c>
      <c r="H315" s="8">
        <v>114.7</v>
      </c>
    </row>
    <row r="316" spans="1:8" ht="20" x14ac:dyDescent="0.2">
      <c r="A316" s="9">
        <v>315</v>
      </c>
      <c r="B316" s="7" t="s">
        <v>363</v>
      </c>
      <c r="C316" s="8">
        <v>48.5</v>
      </c>
      <c r="D316" s="8">
        <v>19.600000000000001</v>
      </c>
      <c r="E316" s="8">
        <v>35.1</v>
      </c>
      <c r="F316" s="8">
        <v>51</v>
      </c>
      <c r="G316" s="8">
        <v>47.9</v>
      </c>
      <c r="H316" s="8">
        <v>101.2</v>
      </c>
    </row>
    <row r="317" spans="1:8" ht="20" x14ac:dyDescent="0.2">
      <c r="A317" s="9">
        <v>316</v>
      </c>
      <c r="B317" s="7" t="s">
        <v>364</v>
      </c>
      <c r="C317" s="8">
        <v>48.4</v>
      </c>
      <c r="D317" s="8">
        <v>19.2</v>
      </c>
      <c r="E317" s="8">
        <v>34.799999999999997</v>
      </c>
      <c r="F317" s="8">
        <v>42.2</v>
      </c>
      <c r="G317" s="8">
        <v>55.2</v>
      </c>
      <c r="H317" s="8">
        <v>57.6</v>
      </c>
    </row>
    <row r="318" spans="1:8" ht="20" x14ac:dyDescent="0.2">
      <c r="A318" s="9">
        <v>317</v>
      </c>
      <c r="B318" s="7" t="s">
        <v>365</v>
      </c>
      <c r="C318" s="8">
        <v>48.3</v>
      </c>
      <c r="D318" s="8">
        <v>23.6</v>
      </c>
      <c r="E318" s="8">
        <v>36.799999999999997</v>
      </c>
      <c r="F318" s="8">
        <v>45.6</v>
      </c>
      <c r="G318" s="8">
        <v>41</v>
      </c>
      <c r="H318" s="8">
        <v>122</v>
      </c>
    </row>
    <row r="319" spans="1:8" ht="20" x14ac:dyDescent="0.2">
      <c r="A319" s="9">
        <v>318</v>
      </c>
      <c r="B319" s="7" t="s">
        <v>366</v>
      </c>
      <c r="C319" s="8">
        <v>47.7</v>
      </c>
      <c r="D319" s="8">
        <v>27.7</v>
      </c>
      <c r="E319" s="8">
        <v>38.4</v>
      </c>
      <c r="F319" s="8">
        <v>54.6</v>
      </c>
      <c r="G319" s="8">
        <v>43.1</v>
      </c>
      <c r="H319" s="8">
        <v>49.2</v>
      </c>
    </row>
    <row r="320" spans="1:8" ht="20" x14ac:dyDescent="0.2">
      <c r="A320" s="9">
        <v>319</v>
      </c>
      <c r="B320" s="7" t="s">
        <v>367</v>
      </c>
      <c r="C320" s="8">
        <v>47.6</v>
      </c>
      <c r="D320" s="8">
        <v>33.6</v>
      </c>
      <c r="E320" s="8">
        <v>41.1</v>
      </c>
      <c r="F320" s="8">
        <v>45.3</v>
      </c>
      <c r="G320" s="8">
        <v>48.5</v>
      </c>
      <c r="H320" s="8">
        <v>63.4</v>
      </c>
    </row>
    <row r="321" spans="1:8" ht="20" x14ac:dyDescent="0.2">
      <c r="A321" s="9">
        <v>320</v>
      </c>
      <c r="B321" s="7" t="s">
        <v>368</v>
      </c>
      <c r="C321" s="8">
        <v>47.6</v>
      </c>
      <c r="D321" s="8">
        <v>19.2</v>
      </c>
      <c r="E321" s="8">
        <v>34.4</v>
      </c>
      <c r="F321" s="8">
        <v>42.1</v>
      </c>
      <c r="G321" s="8">
        <v>52.5</v>
      </c>
      <c r="H321" s="8">
        <v>70.099999999999994</v>
      </c>
    </row>
    <row r="322" spans="1:8" ht="20" x14ac:dyDescent="0.2">
      <c r="A322" s="9">
        <v>321</v>
      </c>
      <c r="B322" s="7" t="s">
        <v>369</v>
      </c>
      <c r="C322" s="8">
        <v>47.2</v>
      </c>
      <c r="D322" s="8">
        <v>16</v>
      </c>
      <c r="E322" s="8">
        <v>32.700000000000003</v>
      </c>
      <c r="F322" s="8">
        <v>48</v>
      </c>
      <c r="G322" s="8">
        <v>35</v>
      </c>
      <c r="H322" s="8">
        <v>93.8</v>
      </c>
    </row>
    <row r="323" spans="1:8" ht="20" x14ac:dyDescent="0.2">
      <c r="A323" s="9">
        <v>322</v>
      </c>
      <c r="B323" s="7" t="s">
        <v>370</v>
      </c>
      <c r="C323" s="8">
        <v>47</v>
      </c>
      <c r="D323" s="8">
        <v>17</v>
      </c>
      <c r="E323" s="8">
        <v>33.1</v>
      </c>
      <c r="F323" s="8">
        <v>45.9</v>
      </c>
      <c r="G323" s="8">
        <v>50.3</v>
      </c>
      <c r="H323" s="8">
        <v>98.5</v>
      </c>
    </row>
    <row r="324" spans="1:8" ht="20" x14ac:dyDescent="0.2">
      <c r="A324" s="9">
        <v>323</v>
      </c>
      <c r="B324" s="7" t="s">
        <v>371</v>
      </c>
      <c r="C324" s="8">
        <v>46.9</v>
      </c>
      <c r="D324" s="8">
        <v>12</v>
      </c>
      <c r="E324" s="8">
        <v>30.7</v>
      </c>
      <c r="F324" s="8">
        <v>48.4</v>
      </c>
      <c r="G324" s="8">
        <v>43.5</v>
      </c>
      <c r="H324" s="8">
        <v>59.4</v>
      </c>
    </row>
    <row r="325" spans="1:8" ht="20" x14ac:dyDescent="0.2">
      <c r="A325" s="9">
        <v>324</v>
      </c>
      <c r="B325" s="7" t="s">
        <v>372</v>
      </c>
      <c r="C325" s="8">
        <v>46.8</v>
      </c>
      <c r="D325" s="8">
        <v>13.7</v>
      </c>
      <c r="E325" s="8">
        <v>31.4</v>
      </c>
      <c r="F325" s="8">
        <v>41.1</v>
      </c>
      <c r="G325" s="8">
        <v>49.9</v>
      </c>
      <c r="H325" s="8">
        <v>102</v>
      </c>
    </row>
    <row r="326" spans="1:8" ht="20" x14ac:dyDescent="0.2">
      <c r="A326" s="9">
        <v>325</v>
      </c>
      <c r="B326" s="7" t="s">
        <v>373</v>
      </c>
      <c r="C326" s="8">
        <v>46.7</v>
      </c>
      <c r="D326" s="8">
        <v>19.5</v>
      </c>
      <c r="E326" s="8">
        <v>34.1</v>
      </c>
      <c r="F326" s="8">
        <v>47.7</v>
      </c>
      <c r="G326" s="8">
        <v>44.2</v>
      </c>
      <c r="H326" s="8">
        <v>73.7</v>
      </c>
    </row>
    <row r="327" spans="1:8" ht="20" x14ac:dyDescent="0.2">
      <c r="A327" s="9">
        <v>326</v>
      </c>
      <c r="B327" s="7" t="s">
        <v>374</v>
      </c>
      <c r="C327" s="8">
        <v>46.6</v>
      </c>
      <c r="D327" s="8">
        <v>11.1</v>
      </c>
      <c r="E327" s="8">
        <v>30.1</v>
      </c>
      <c r="F327" s="8">
        <v>61.3</v>
      </c>
      <c r="G327" s="8">
        <v>26.2</v>
      </c>
      <c r="H327" s="8">
        <v>93.9</v>
      </c>
    </row>
    <row r="328" spans="1:8" ht="20" x14ac:dyDescent="0.2">
      <c r="A328" s="9">
        <v>327</v>
      </c>
      <c r="B328" s="7" t="s">
        <v>375</v>
      </c>
      <c r="C328" s="8">
        <v>46.6</v>
      </c>
      <c r="D328" s="8">
        <v>18.600000000000001</v>
      </c>
      <c r="E328" s="8">
        <v>33.6</v>
      </c>
      <c r="F328" s="8">
        <v>47.5</v>
      </c>
      <c r="G328" s="8">
        <v>41.9</v>
      </c>
      <c r="H328" s="8">
        <v>82.9</v>
      </c>
    </row>
    <row r="329" spans="1:8" ht="20" x14ac:dyDescent="0.2">
      <c r="A329" s="9">
        <v>328</v>
      </c>
      <c r="B329" s="7" t="s">
        <v>376</v>
      </c>
      <c r="C329" s="8">
        <v>46.5</v>
      </c>
      <c r="D329" s="8">
        <v>27.6</v>
      </c>
      <c r="E329" s="8">
        <v>37.700000000000003</v>
      </c>
      <c r="F329" s="8">
        <v>50.8</v>
      </c>
      <c r="G329" s="8">
        <v>49.1</v>
      </c>
      <c r="H329" s="8">
        <v>54.3</v>
      </c>
    </row>
    <row r="330" spans="1:8" ht="20" x14ac:dyDescent="0.2">
      <c r="A330" s="9">
        <v>329</v>
      </c>
      <c r="B330" s="7" t="s">
        <v>377</v>
      </c>
      <c r="C330" s="8">
        <v>46.3</v>
      </c>
      <c r="D330" s="8">
        <v>16</v>
      </c>
      <c r="E330" s="8">
        <v>32.200000000000003</v>
      </c>
      <c r="F330" s="8">
        <v>43.1</v>
      </c>
      <c r="G330" s="8">
        <v>54.1</v>
      </c>
      <c r="H330" s="8">
        <v>84.5</v>
      </c>
    </row>
    <row r="331" spans="1:8" ht="20" x14ac:dyDescent="0.2">
      <c r="A331" s="9">
        <v>330</v>
      </c>
      <c r="B331" s="7" t="s">
        <v>378</v>
      </c>
      <c r="C331" s="8">
        <v>46.3</v>
      </c>
      <c r="D331" s="8">
        <v>17.5</v>
      </c>
      <c r="E331" s="8">
        <v>32.9</v>
      </c>
      <c r="F331" s="8">
        <v>39.799999999999997</v>
      </c>
      <c r="G331" s="8">
        <v>46.8</v>
      </c>
      <c r="H331" s="8">
        <v>104.2</v>
      </c>
    </row>
    <row r="332" spans="1:8" ht="20" x14ac:dyDescent="0.2">
      <c r="A332" s="9">
        <v>331</v>
      </c>
      <c r="B332" s="7" t="s">
        <v>379</v>
      </c>
      <c r="C332" s="8">
        <v>46.1</v>
      </c>
      <c r="D332" s="8">
        <v>10.199999999999999</v>
      </c>
      <c r="E332" s="8">
        <v>29.4</v>
      </c>
      <c r="F332" s="8">
        <v>45</v>
      </c>
      <c r="G332" s="8">
        <v>48.1</v>
      </c>
      <c r="H332" s="8">
        <v>40.5</v>
      </c>
    </row>
    <row r="333" spans="1:8" ht="20" x14ac:dyDescent="0.2">
      <c r="A333" s="9">
        <v>332</v>
      </c>
      <c r="B333" s="7" t="s">
        <v>380</v>
      </c>
      <c r="C333" s="8">
        <v>46.1</v>
      </c>
      <c r="D333" s="8">
        <v>15.5</v>
      </c>
      <c r="E333" s="8">
        <v>31.8</v>
      </c>
      <c r="F333" s="8">
        <v>49.3</v>
      </c>
      <c r="G333" s="8">
        <v>46.5</v>
      </c>
      <c r="H333" s="8">
        <v>120</v>
      </c>
    </row>
    <row r="334" spans="1:8" ht="20" x14ac:dyDescent="0.2">
      <c r="A334" s="9">
        <v>333</v>
      </c>
      <c r="B334" s="7" t="s">
        <v>381</v>
      </c>
      <c r="C334" s="8">
        <v>45.7</v>
      </c>
      <c r="D334" s="8">
        <v>13.1</v>
      </c>
      <c r="E334" s="8">
        <v>30.6</v>
      </c>
      <c r="F334" s="8">
        <v>53.7</v>
      </c>
      <c r="G334" s="8">
        <v>47.6</v>
      </c>
      <c r="H334" s="8">
        <v>19.399999999999999</v>
      </c>
    </row>
    <row r="335" spans="1:8" ht="20" x14ac:dyDescent="0.2">
      <c r="A335" s="9">
        <v>334</v>
      </c>
      <c r="B335" s="7" t="s">
        <v>382</v>
      </c>
      <c r="C335" s="8">
        <v>45.7</v>
      </c>
      <c r="D335" s="8">
        <v>28.6</v>
      </c>
      <c r="E335" s="8">
        <v>37.799999999999997</v>
      </c>
      <c r="F335" s="8">
        <v>39.4</v>
      </c>
      <c r="G335" s="8">
        <v>45.6</v>
      </c>
      <c r="H335" s="8">
        <v>82.8</v>
      </c>
    </row>
    <row r="336" spans="1:8" ht="20" x14ac:dyDescent="0.2">
      <c r="A336" s="9">
        <v>335</v>
      </c>
      <c r="B336" s="7" t="s">
        <v>383</v>
      </c>
      <c r="C336" s="8">
        <v>45.5</v>
      </c>
      <c r="D336" s="8">
        <v>12.4</v>
      </c>
      <c r="E336" s="8">
        <v>30.1</v>
      </c>
      <c r="F336" s="8">
        <v>46.4</v>
      </c>
      <c r="G336" s="8">
        <v>47.8</v>
      </c>
      <c r="H336" s="8">
        <v>78.3</v>
      </c>
    </row>
    <row r="337" spans="1:8" ht="20" x14ac:dyDescent="0.2">
      <c r="A337" s="9">
        <v>336</v>
      </c>
      <c r="B337" s="7" t="s">
        <v>384</v>
      </c>
      <c r="C337" s="8">
        <v>45.5</v>
      </c>
      <c r="D337" s="8">
        <v>22.3</v>
      </c>
      <c r="E337" s="8">
        <v>34.700000000000003</v>
      </c>
      <c r="F337" s="8">
        <v>34.5</v>
      </c>
      <c r="G337" s="8">
        <v>57.3</v>
      </c>
      <c r="H337" s="8">
        <v>106.7</v>
      </c>
    </row>
    <row r="338" spans="1:8" ht="20" x14ac:dyDescent="0.2">
      <c r="A338" s="9">
        <v>337</v>
      </c>
      <c r="B338" s="7" t="s">
        <v>385</v>
      </c>
      <c r="C338" s="8">
        <v>45.4</v>
      </c>
      <c r="D338" s="8">
        <v>13.9</v>
      </c>
      <c r="E338" s="8">
        <v>30.8</v>
      </c>
      <c r="F338" s="8">
        <v>41.9</v>
      </c>
      <c r="G338" s="8">
        <v>52.6</v>
      </c>
      <c r="H338" s="8">
        <v>92.8</v>
      </c>
    </row>
    <row r="339" spans="1:8" ht="20" x14ac:dyDescent="0.2">
      <c r="A339" s="9">
        <v>338</v>
      </c>
      <c r="B339" s="7" t="s">
        <v>386</v>
      </c>
      <c r="C339" s="8">
        <v>45.3</v>
      </c>
      <c r="D339" s="8">
        <v>17.5</v>
      </c>
      <c r="E339" s="8">
        <v>32.4</v>
      </c>
      <c r="F339" s="8">
        <v>51.6</v>
      </c>
      <c r="G339" s="8">
        <v>43.6</v>
      </c>
      <c r="H339" s="8">
        <v>61.4</v>
      </c>
    </row>
    <row r="340" spans="1:8" ht="20" x14ac:dyDescent="0.2">
      <c r="A340" s="9">
        <v>339</v>
      </c>
      <c r="B340" s="7" t="s">
        <v>387</v>
      </c>
      <c r="C340" s="8">
        <v>45.3</v>
      </c>
      <c r="D340" s="8">
        <v>14</v>
      </c>
      <c r="E340" s="8">
        <v>30.7</v>
      </c>
      <c r="F340" s="8">
        <v>43.3</v>
      </c>
      <c r="G340" s="8">
        <v>42</v>
      </c>
      <c r="H340" s="8">
        <v>111</v>
      </c>
    </row>
    <row r="341" spans="1:8" ht="20" x14ac:dyDescent="0.2">
      <c r="A341" s="9">
        <v>340</v>
      </c>
      <c r="B341" s="7" t="s">
        <v>388</v>
      </c>
      <c r="C341" s="8">
        <v>45.2</v>
      </c>
      <c r="D341" s="8">
        <v>22</v>
      </c>
      <c r="E341" s="8">
        <v>34.4</v>
      </c>
      <c r="F341" s="8">
        <v>43.3</v>
      </c>
      <c r="G341" s="8">
        <v>47.4</v>
      </c>
      <c r="H341" s="8">
        <v>68.5</v>
      </c>
    </row>
    <row r="342" spans="1:8" ht="20" x14ac:dyDescent="0.2">
      <c r="A342" s="9">
        <v>341</v>
      </c>
      <c r="B342" s="7" t="s">
        <v>389</v>
      </c>
      <c r="C342" s="8">
        <v>45.2</v>
      </c>
      <c r="D342" s="8">
        <v>12.9</v>
      </c>
      <c r="E342" s="8">
        <v>30.2</v>
      </c>
      <c r="F342" s="8">
        <v>41.4</v>
      </c>
      <c r="G342" s="8">
        <v>45.3</v>
      </c>
      <c r="H342" s="8">
        <v>65.7</v>
      </c>
    </row>
    <row r="343" spans="1:8" ht="20" x14ac:dyDescent="0.2">
      <c r="A343" s="9">
        <v>342</v>
      </c>
      <c r="B343" s="7" t="s">
        <v>390</v>
      </c>
      <c r="C343" s="8">
        <v>45</v>
      </c>
      <c r="D343" s="8">
        <v>21</v>
      </c>
      <c r="E343" s="8">
        <v>33.799999999999997</v>
      </c>
      <c r="F343" s="8">
        <v>41</v>
      </c>
      <c r="G343" s="8">
        <v>45.7</v>
      </c>
      <c r="H343" s="8">
        <v>133.30000000000001</v>
      </c>
    </row>
    <row r="344" spans="1:8" ht="20" x14ac:dyDescent="0.2">
      <c r="A344" s="9">
        <v>343</v>
      </c>
      <c r="B344" s="7" t="s">
        <v>391</v>
      </c>
      <c r="C344" s="8">
        <v>44.7</v>
      </c>
      <c r="D344" s="8">
        <v>22</v>
      </c>
      <c r="E344" s="8">
        <v>34.1</v>
      </c>
      <c r="F344" s="8">
        <v>43.1</v>
      </c>
      <c r="G344" s="8">
        <v>37.5</v>
      </c>
      <c r="H344" s="8">
        <v>12.7</v>
      </c>
    </row>
    <row r="345" spans="1:8" ht="20" x14ac:dyDescent="0.2">
      <c r="A345" s="9">
        <v>344</v>
      </c>
      <c r="B345" s="7" t="s">
        <v>392</v>
      </c>
      <c r="C345" s="8">
        <v>44.7</v>
      </c>
      <c r="D345" s="8">
        <v>14.3</v>
      </c>
      <c r="E345" s="8">
        <v>30.6</v>
      </c>
      <c r="F345" s="8">
        <v>44.6</v>
      </c>
      <c r="G345" s="8">
        <v>43.1</v>
      </c>
      <c r="H345" s="8">
        <v>73.2</v>
      </c>
    </row>
    <row r="346" spans="1:8" ht="20" x14ac:dyDescent="0.2">
      <c r="A346" s="9">
        <v>345</v>
      </c>
      <c r="B346" s="7" t="s">
        <v>393</v>
      </c>
      <c r="C346" s="8">
        <v>44.3</v>
      </c>
      <c r="D346" s="8">
        <v>15.2</v>
      </c>
      <c r="E346" s="8">
        <v>30.8</v>
      </c>
      <c r="F346" s="8">
        <v>39.200000000000003</v>
      </c>
      <c r="G346" s="8">
        <v>43.8</v>
      </c>
      <c r="H346" s="8">
        <v>105.3</v>
      </c>
    </row>
    <row r="347" spans="1:8" ht="20" x14ac:dyDescent="0.2">
      <c r="A347" s="9">
        <v>346</v>
      </c>
      <c r="B347" s="7" t="s">
        <v>394</v>
      </c>
      <c r="C347" s="8">
        <v>44.2</v>
      </c>
      <c r="D347" s="8">
        <v>10.6</v>
      </c>
      <c r="E347" s="8">
        <v>28.5</v>
      </c>
      <c r="F347" s="8">
        <v>62.3</v>
      </c>
      <c r="G347" s="8">
        <v>25.5</v>
      </c>
      <c r="H347" s="8">
        <v>102.1</v>
      </c>
    </row>
    <row r="348" spans="1:8" ht="20" x14ac:dyDescent="0.2">
      <c r="A348" s="9">
        <v>347</v>
      </c>
      <c r="B348" s="7" t="s">
        <v>395</v>
      </c>
      <c r="C348" s="8">
        <v>44.1</v>
      </c>
      <c r="D348" s="8">
        <v>42.3</v>
      </c>
      <c r="E348" s="8">
        <v>43.2</v>
      </c>
      <c r="F348" s="8">
        <v>34.6</v>
      </c>
      <c r="G348" s="8">
        <v>38.299999999999997</v>
      </c>
      <c r="H348" s="8">
        <v>96.8</v>
      </c>
    </row>
    <row r="349" spans="1:8" ht="20" x14ac:dyDescent="0.2">
      <c r="A349" s="9">
        <v>348</v>
      </c>
      <c r="B349" s="7" t="s">
        <v>396</v>
      </c>
      <c r="C349" s="8">
        <v>44</v>
      </c>
      <c r="D349" s="8">
        <v>9.9</v>
      </c>
      <c r="E349" s="8">
        <v>28.2</v>
      </c>
      <c r="F349" s="8">
        <v>45.5</v>
      </c>
      <c r="G349" s="8">
        <v>37.4</v>
      </c>
      <c r="H349" s="8">
        <v>83.4</v>
      </c>
    </row>
    <row r="350" spans="1:8" ht="20" x14ac:dyDescent="0.2">
      <c r="A350" s="9">
        <v>349</v>
      </c>
      <c r="B350" s="7" t="s">
        <v>397</v>
      </c>
      <c r="C350" s="8">
        <v>44</v>
      </c>
      <c r="D350" s="8">
        <v>13.2</v>
      </c>
      <c r="E350" s="8">
        <v>29.7</v>
      </c>
      <c r="F350" s="8">
        <v>39.1</v>
      </c>
      <c r="G350" s="8">
        <v>36.1</v>
      </c>
      <c r="H350" s="8">
        <v>138.4</v>
      </c>
    </row>
    <row r="351" spans="1:8" ht="20" x14ac:dyDescent="0.2">
      <c r="A351" s="9">
        <v>350</v>
      </c>
      <c r="B351" s="7" t="s">
        <v>398</v>
      </c>
      <c r="C351" s="8">
        <v>43.7</v>
      </c>
      <c r="D351" s="8">
        <v>15.9</v>
      </c>
      <c r="E351" s="8">
        <v>30.8</v>
      </c>
      <c r="F351" s="8">
        <v>40.4</v>
      </c>
      <c r="G351" s="8">
        <v>49.6</v>
      </c>
      <c r="H351" s="8">
        <v>71.3</v>
      </c>
    </row>
    <row r="352" spans="1:8" ht="20" x14ac:dyDescent="0.2">
      <c r="A352" s="9">
        <v>351</v>
      </c>
      <c r="B352" s="7" t="s">
        <v>399</v>
      </c>
      <c r="C352" s="8">
        <v>43.5</v>
      </c>
      <c r="D352" s="8">
        <v>14.3</v>
      </c>
      <c r="E352" s="8">
        <v>29.9</v>
      </c>
      <c r="F352" s="8">
        <v>40.6</v>
      </c>
      <c r="G352" s="8">
        <v>45.6</v>
      </c>
      <c r="H352" s="8">
        <v>106.1</v>
      </c>
    </row>
    <row r="353" spans="1:8" ht="20" x14ac:dyDescent="0.2">
      <c r="A353" s="9">
        <v>352</v>
      </c>
      <c r="B353" s="7" t="s">
        <v>400</v>
      </c>
      <c r="C353" s="8">
        <v>43.5</v>
      </c>
      <c r="D353" s="8">
        <v>17.5</v>
      </c>
      <c r="E353" s="8">
        <v>31.4</v>
      </c>
      <c r="F353" s="8">
        <v>50.5</v>
      </c>
      <c r="G353" s="8">
        <v>29.4</v>
      </c>
      <c r="H353" s="8">
        <v>125</v>
      </c>
    </row>
    <row r="354" spans="1:8" ht="20" x14ac:dyDescent="0.2">
      <c r="A354" s="9">
        <v>353</v>
      </c>
      <c r="B354" s="7" t="s">
        <v>401</v>
      </c>
      <c r="C354" s="8">
        <v>43.1</v>
      </c>
      <c r="D354" s="8">
        <v>11.8</v>
      </c>
      <c r="E354" s="8">
        <v>28.5</v>
      </c>
      <c r="F354" s="8">
        <v>41.2</v>
      </c>
      <c r="G354" s="8">
        <v>30.3</v>
      </c>
      <c r="H354" s="8">
        <v>134.69999999999999</v>
      </c>
    </row>
    <row r="355" spans="1:8" ht="20" x14ac:dyDescent="0.2">
      <c r="A355" s="9">
        <v>354</v>
      </c>
      <c r="B355" s="7" t="s">
        <v>402</v>
      </c>
      <c r="C355" s="8">
        <v>43</v>
      </c>
      <c r="D355" s="8">
        <v>13.6</v>
      </c>
      <c r="E355" s="8">
        <v>29.4</v>
      </c>
      <c r="F355" s="8">
        <v>39.4</v>
      </c>
      <c r="G355" s="8">
        <v>52</v>
      </c>
      <c r="H355" s="8">
        <v>65.5</v>
      </c>
    </row>
    <row r="356" spans="1:8" ht="20" x14ac:dyDescent="0.2">
      <c r="A356" s="9">
        <v>355</v>
      </c>
      <c r="B356" s="7" t="s">
        <v>403</v>
      </c>
      <c r="C356" s="8">
        <v>42.9</v>
      </c>
      <c r="D356" s="8">
        <v>8.8000000000000007</v>
      </c>
      <c r="E356" s="8">
        <v>27.1</v>
      </c>
      <c r="F356" s="8">
        <v>39</v>
      </c>
      <c r="G356" s="8">
        <v>46.6</v>
      </c>
      <c r="H356" s="8">
        <v>50.8</v>
      </c>
    </row>
    <row r="357" spans="1:8" ht="20" x14ac:dyDescent="0.2">
      <c r="A357" s="9">
        <v>356</v>
      </c>
      <c r="B357" s="7" t="s">
        <v>404</v>
      </c>
      <c r="C357" s="8">
        <v>42.7</v>
      </c>
      <c r="D357" s="8">
        <v>11.5</v>
      </c>
      <c r="E357" s="8">
        <v>28.2</v>
      </c>
      <c r="F357" s="8">
        <v>42.9</v>
      </c>
      <c r="G357" s="8">
        <v>37.6</v>
      </c>
      <c r="H357" s="8">
        <v>69.099999999999994</v>
      </c>
    </row>
    <row r="358" spans="1:8" ht="20" x14ac:dyDescent="0.2">
      <c r="A358" s="9">
        <v>357</v>
      </c>
      <c r="B358" s="7" t="s">
        <v>405</v>
      </c>
      <c r="C358" s="8">
        <v>42.7</v>
      </c>
      <c r="D358" s="8">
        <v>13.7</v>
      </c>
      <c r="E358" s="8">
        <v>29.2</v>
      </c>
      <c r="F358" s="8">
        <v>44.6</v>
      </c>
      <c r="G358" s="8">
        <v>46.7</v>
      </c>
      <c r="H358" s="8">
        <v>56</v>
      </c>
    </row>
    <row r="359" spans="1:8" ht="20" x14ac:dyDescent="0.2">
      <c r="A359" s="9">
        <v>358</v>
      </c>
      <c r="B359" s="7" t="s">
        <v>406</v>
      </c>
      <c r="C359" s="8">
        <v>42.2</v>
      </c>
      <c r="D359" s="8">
        <v>14.8</v>
      </c>
      <c r="E359" s="8">
        <v>29.5</v>
      </c>
      <c r="F359" s="8">
        <v>41.8</v>
      </c>
      <c r="G359" s="8">
        <v>43.1</v>
      </c>
      <c r="H359" s="8">
        <v>77.3</v>
      </c>
    </row>
    <row r="360" spans="1:8" ht="20" x14ac:dyDescent="0.2">
      <c r="A360" s="9">
        <v>359</v>
      </c>
      <c r="B360" s="7" t="s">
        <v>407</v>
      </c>
      <c r="C360" s="8">
        <v>42.2</v>
      </c>
      <c r="D360" s="8">
        <v>19</v>
      </c>
      <c r="E360" s="8">
        <v>31.4</v>
      </c>
      <c r="F360" s="8">
        <v>47.3</v>
      </c>
      <c r="G360" s="8">
        <v>45</v>
      </c>
      <c r="H360" s="8">
        <v>45.2</v>
      </c>
    </row>
    <row r="361" spans="1:8" ht="20" x14ac:dyDescent="0.2">
      <c r="A361" s="9">
        <v>360</v>
      </c>
      <c r="B361" s="7" t="s">
        <v>408</v>
      </c>
      <c r="C361" s="8">
        <v>42.1</v>
      </c>
      <c r="D361" s="8">
        <v>14.1</v>
      </c>
      <c r="E361" s="8">
        <v>29.1</v>
      </c>
      <c r="F361" s="8">
        <v>45.2</v>
      </c>
      <c r="G361" s="8">
        <v>45.2</v>
      </c>
      <c r="H361" s="8">
        <v>37.9</v>
      </c>
    </row>
    <row r="362" spans="1:8" ht="20" x14ac:dyDescent="0.2">
      <c r="A362" s="9">
        <v>361</v>
      </c>
      <c r="B362" s="7" t="s">
        <v>409</v>
      </c>
      <c r="C362" s="8">
        <v>42</v>
      </c>
      <c r="D362" s="8">
        <v>21.9</v>
      </c>
      <c r="E362" s="8">
        <v>32.700000000000003</v>
      </c>
      <c r="F362" s="8">
        <v>47.4</v>
      </c>
      <c r="G362" s="8">
        <v>35.299999999999997</v>
      </c>
      <c r="H362" s="8">
        <v>22.5</v>
      </c>
    </row>
    <row r="363" spans="1:8" ht="20" x14ac:dyDescent="0.2">
      <c r="A363" s="9">
        <v>362</v>
      </c>
      <c r="B363" s="7" t="s">
        <v>410</v>
      </c>
      <c r="C363" s="8">
        <v>41.9</v>
      </c>
      <c r="D363" s="8">
        <v>19.8</v>
      </c>
      <c r="E363" s="8">
        <v>31.6</v>
      </c>
      <c r="F363" s="8">
        <v>47.4</v>
      </c>
      <c r="G363" s="8">
        <v>36.700000000000003</v>
      </c>
      <c r="H363" s="8">
        <v>31.8</v>
      </c>
    </row>
    <row r="364" spans="1:8" ht="20" x14ac:dyDescent="0.2">
      <c r="A364" s="9">
        <v>363</v>
      </c>
      <c r="B364" s="7" t="s">
        <v>411</v>
      </c>
      <c r="C364" s="8">
        <v>41.7</v>
      </c>
      <c r="D364" s="8">
        <v>15.6</v>
      </c>
      <c r="E364" s="8">
        <v>29.5</v>
      </c>
      <c r="F364" s="8">
        <v>36.9</v>
      </c>
      <c r="G364" s="8">
        <v>41.2</v>
      </c>
      <c r="H364" s="8">
        <v>38.799999999999997</v>
      </c>
    </row>
    <row r="365" spans="1:8" ht="20" x14ac:dyDescent="0.2">
      <c r="A365" s="9">
        <v>364</v>
      </c>
      <c r="B365" s="7" t="s">
        <v>412</v>
      </c>
      <c r="C365" s="8">
        <v>41.4</v>
      </c>
      <c r="D365" s="8">
        <v>14.1</v>
      </c>
      <c r="E365" s="8">
        <v>28.7</v>
      </c>
      <c r="F365" s="8">
        <v>41.7</v>
      </c>
      <c r="G365" s="8">
        <v>39.700000000000003</v>
      </c>
      <c r="H365" s="8">
        <v>75.7</v>
      </c>
    </row>
    <row r="366" spans="1:8" ht="20" x14ac:dyDescent="0.2">
      <c r="A366" s="9">
        <v>365</v>
      </c>
      <c r="B366" s="7" t="s">
        <v>413</v>
      </c>
      <c r="C366" s="8">
        <v>41.3</v>
      </c>
      <c r="D366" s="8">
        <v>9.8000000000000007</v>
      </c>
      <c r="E366" s="8">
        <v>26.7</v>
      </c>
      <c r="F366" s="8">
        <v>42.2</v>
      </c>
      <c r="G366" s="8">
        <v>34.799999999999997</v>
      </c>
      <c r="H366" s="8">
        <v>61.6</v>
      </c>
    </row>
    <row r="367" spans="1:8" ht="20" x14ac:dyDescent="0.2">
      <c r="A367" s="9">
        <v>366</v>
      </c>
      <c r="B367" s="7" t="s">
        <v>414</v>
      </c>
      <c r="C367" s="8">
        <v>41.1</v>
      </c>
      <c r="D367" s="8">
        <v>14.9</v>
      </c>
      <c r="E367" s="8">
        <v>28.9</v>
      </c>
      <c r="F367" s="8">
        <v>40.4</v>
      </c>
      <c r="G367" s="8">
        <v>40.299999999999997</v>
      </c>
      <c r="H367" s="8">
        <v>41.9</v>
      </c>
    </row>
    <row r="368" spans="1:8" ht="20" x14ac:dyDescent="0.2">
      <c r="A368" s="9">
        <v>367</v>
      </c>
      <c r="B368" s="7" t="s">
        <v>415</v>
      </c>
      <c r="C368" s="8">
        <v>41</v>
      </c>
      <c r="D368" s="8">
        <v>12</v>
      </c>
      <c r="E368" s="8">
        <v>27.5</v>
      </c>
      <c r="F368" s="8">
        <v>33.299999999999997</v>
      </c>
      <c r="G368" s="8">
        <v>32.5</v>
      </c>
      <c r="H368" s="8">
        <v>103.3</v>
      </c>
    </row>
    <row r="369" spans="1:8" ht="20" x14ac:dyDescent="0.2">
      <c r="A369" s="9">
        <v>368</v>
      </c>
      <c r="B369" s="7" t="s">
        <v>416</v>
      </c>
      <c r="C369" s="8">
        <v>40.9</v>
      </c>
      <c r="D369" s="8">
        <v>19.8</v>
      </c>
      <c r="E369" s="8">
        <v>31.1</v>
      </c>
      <c r="F369" s="8">
        <v>43.2</v>
      </c>
      <c r="G369" s="8">
        <v>24.5</v>
      </c>
      <c r="H369" s="8">
        <v>12.7</v>
      </c>
    </row>
    <row r="370" spans="1:8" ht="20" x14ac:dyDescent="0.2">
      <c r="A370" s="9">
        <v>369</v>
      </c>
      <c r="B370" s="7" t="s">
        <v>417</v>
      </c>
      <c r="C370" s="8">
        <v>40.9</v>
      </c>
      <c r="D370" s="8">
        <v>17.399999999999999</v>
      </c>
      <c r="E370" s="8">
        <v>30</v>
      </c>
      <c r="F370" s="8">
        <v>45.7</v>
      </c>
      <c r="G370" s="8">
        <v>26.7</v>
      </c>
      <c r="H370" s="8">
        <v>49.9</v>
      </c>
    </row>
    <row r="371" spans="1:8" ht="20" x14ac:dyDescent="0.2">
      <c r="A371" s="9">
        <v>370</v>
      </c>
      <c r="B371" s="7" t="s">
        <v>418</v>
      </c>
      <c r="C371" s="8">
        <v>40.799999999999997</v>
      </c>
      <c r="D371" s="8">
        <v>10.7</v>
      </c>
      <c r="E371" s="8">
        <v>26.8</v>
      </c>
      <c r="F371" s="8">
        <v>38.299999999999997</v>
      </c>
      <c r="G371" s="8">
        <v>46.5</v>
      </c>
      <c r="H371" s="8">
        <v>93.7</v>
      </c>
    </row>
    <row r="372" spans="1:8" ht="20" x14ac:dyDescent="0.2">
      <c r="A372" s="9">
        <v>371</v>
      </c>
      <c r="B372" s="7" t="s">
        <v>419</v>
      </c>
      <c r="C372" s="8">
        <v>40.799999999999997</v>
      </c>
      <c r="D372" s="8">
        <v>19.600000000000001</v>
      </c>
      <c r="E372" s="8">
        <v>31</v>
      </c>
      <c r="F372" s="8">
        <v>41.5</v>
      </c>
      <c r="G372" s="8">
        <v>32.6</v>
      </c>
      <c r="H372" s="8">
        <v>44.5</v>
      </c>
    </row>
    <row r="373" spans="1:8" ht="20" x14ac:dyDescent="0.2">
      <c r="A373" s="9">
        <v>372</v>
      </c>
      <c r="B373" s="7" t="s">
        <v>420</v>
      </c>
      <c r="C373" s="8">
        <v>40.799999999999997</v>
      </c>
      <c r="D373" s="8">
        <v>13.9</v>
      </c>
      <c r="E373" s="8">
        <v>28.3</v>
      </c>
      <c r="F373" s="8">
        <v>37.299999999999997</v>
      </c>
      <c r="G373" s="8">
        <v>39.9</v>
      </c>
      <c r="H373" s="8">
        <v>55.5</v>
      </c>
    </row>
    <row r="374" spans="1:8" ht="20" x14ac:dyDescent="0.2">
      <c r="A374" s="9">
        <v>373</v>
      </c>
      <c r="B374" s="7" t="s">
        <v>421</v>
      </c>
      <c r="C374" s="8">
        <v>40.6</v>
      </c>
      <c r="D374" s="8">
        <v>10.9</v>
      </c>
      <c r="E374" s="8">
        <v>26.8</v>
      </c>
      <c r="F374" s="8">
        <v>39.700000000000003</v>
      </c>
      <c r="G374" s="8">
        <v>40.799999999999997</v>
      </c>
      <c r="H374" s="8">
        <v>81</v>
      </c>
    </row>
    <row r="375" spans="1:8" ht="20" x14ac:dyDescent="0.2">
      <c r="A375" s="9">
        <v>374</v>
      </c>
      <c r="B375" s="7" t="s">
        <v>422</v>
      </c>
      <c r="C375" s="8">
        <v>40.4</v>
      </c>
      <c r="D375" s="8">
        <v>20.6</v>
      </c>
      <c r="E375" s="8">
        <v>31.2</v>
      </c>
      <c r="F375" s="8">
        <v>36</v>
      </c>
      <c r="G375" s="8">
        <v>39.9</v>
      </c>
      <c r="H375" s="8">
        <v>98.9</v>
      </c>
    </row>
    <row r="376" spans="1:8" ht="20" x14ac:dyDescent="0.2">
      <c r="A376" s="9">
        <v>375</v>
      </c>
      <c r="B376" s="7" t="s">
        <v>423</v>
      </c>
      <c r="C376" s="8">
        <v>40.200000000000003</v>
      </c>
      <c r="D376" s="8">
        <v>10.9</v>
      </c>
      <c r="E376" s="8">
        <v>26.6</v>
      </c>
      <c r="F376" s="8">
        <v>43.1</v>
      </c>
      <c r="G376" s="8">
        <v>39.1</v>
      </c>
      <c r="H376" s="8">
        <v>82.5</v>
      </c>
    </row>
    <row r="377" spans="1:8" ht="20" x14ac:dyDescent="0.2">
      <c r="A377" s="9">
        <v>376</v>
      </c>
      <c r="B377" s="7" t="s">
        <v>424</v>
      </c>
      <c r="C377" s="8">
        <v>40.200000000000003</v>
      </c>
      <c r="D377" s="8">
        <v>11.8</v>
      </c>
      <c r="E377" s="8">
        <v>27</v>
      </c>
      <c r="F377" s="8">
        <v>41.9</v>
      </c>
      <c r="G377" s="8">
        <v>43.6</v>
      </c>
      <c r="H377" s="8">
        <v>74.400000000000006</v>
      </c>
    </row>
    <row r="378" spans="1:8" ht="20" x14ac:dyDescent="0.2">
      <c r="A378" s="9">
        <v>377</v>
      </c>
      <c r="B378" s="7" t="s">
        <v>425</v>
      </c>
      <c r="C378" s="8">
        <v>40.200000000000003</v>
      </c>
      <c r="D378" s="8">
        <v>13.1</v>
      </c>
      <c r="E378" s="8">
        <v>27.6</v>
      </c>
      <c r="F378" s="8">
        <v>35.1</v>
      </c>
      <c r="G378" s="8">
        <v>37.700000000000003</v>
      </c>
      <c r="H378" s="8">
        <v>112.1</v>
      </c>
    </row>
    <row r="379" spans="1:8" ht="20" x14ac:dyDescent="0.2">
      <c r="A379" s="9">
        <v>378</v>
      </c>
      <c r="B379" s="7" t="s">
        <v>426</v>
      </c>
      <c r="C379" s="8">
        <v>39.799999999999997</v>
      </c>
      <c r="D379" s="8">
        <v>14.3</v>
      </c>
      <c r="E379" s="8">
        <v>27.9</v>
      </c>
      <c r="F379" s="8">
        <v>40.9</v>
      </c>
      <c r="G379" s="8">
        <v>41.4</v>
      </c>
      <c r="H379" s="8">
        <v>75.7</v>
      </c>
    </row>
    <row r="380" spans="1:8" ht="20" x14ac:dyDescent="0.2">
      <c r="A380" s="9">
        <v>379</v>
      </c>
      <c r="B380" s="7" t="s">
        <v>427</v>
      </c>
      <c r="C380" s="8">
        <v>39.799999999999997</v>
      </c>
      <c r="D380" s="8">
        <v>16</v>
      </c>
      <c r="E380" s="8">
        <v>28.7</v>
      </c>
      <c r="F380" s="8">
        <v>40.5</v>
      </c>
      <c r="G380" s="8">
        <v>35.9</v>
      </c>
      <c r="H380" s="8">
        <v>55.9</v>
      </c>
    </row>
    <row r="381" spans="1:8" ht="20" x14ac:dyDescent="0.2">
      <c r="A381" s="9">
        <v>380</v>
      </c>
      <c r="B381" s="7" t="s">
        <v>428</v>
      </c>
      <c r="C381" s="8">
        <v>39.299999999999997</v>
      </c>
      <c r="D381" s="8">
        <v>10.7</v>
      </c>
      <c r="E381" s="8">
        <v>26</v>
      </c>
      <c r="F381" s="8">
        <v>41.9</v>
      </c>
      <c r="G381" s="8">
        <v>44.7</v>
      </c>
      <c r="H381" s="8">
        <v>67.2</v>
      </c>
    </row>
    <row r="382" spans="1:8" ht="20" x14ac:dyDescent="0.2">
      <c r="A382" s="9">
        <v>381</v>
      </c>
      <c r="B382" s="7" t="s">
        <v>429</v>
      </c>
      <c r="C382" s="8">
        <v>39.1</v>
      </c>
      <c r="D382" s="8">
        <v>9.5</v>
      </c>
      <c r="E382" s="8">
        <v>25.3</v>
      </c>
      <c r="F382" s="8">
        <v>39.1</v>
      </c>
      <c r="G382" s="8">
        <v>35</v>
      </c>
      <c r="H382" s="8">
        <v>89</v>
      </c>
    </row>
    <row r="383" spans="1:8" ht="20" x14ac:dyDescent="0.2">
      <c r="A383" s="9">
        <v>382</v>
      </c>
      <c r="B383" s="7" t="s">
        <v>430</v>
      </c>
      <c r="C383" s="8">
        <v>39.1</v>
      </c>
      <c r="D383" s="8">
        <v>13.9</v>
      </c>
      <c r="E383" s="8">
        <v>27.3</v>
      </c>
      <c r="F383" s="8">
        <v>47.1</v>
      </c>
      <c r="G383" s="8">
        <v>30.6</v>
      </c>
      <c r="H383" s="8">
        <v>111.8</v>
      </c>
    </row>
    <row r="384" spans="1:8" ht="20" x14ac:dyDescent="0.2">
      <c r="A384" s="9">
        <v>383</v>
      </c>
      <c r="B384" s="7" t="s">
        <v>431</v>
      </c>
      <c r="C384" s="8">
        <v>38.700000000000003</v>
      </c>
      <c r="D384" s="8">
        <v>11.8</v>
      </c>
      <c r="E384" s="8">
        <v>26.2</v>
      </c>
      <c r="F384" s="8">
        <v>37.799999999999997</v>
      </c>
      <c r="G384" s="8">
        <v>38.6</v>
      </c>
      <c r="H384" s="8">
        <v>70</v>
      </c>
    </row>
    <row r="385" spans="1:8" ht="20" x14ac:dyDescent="0.2">
      <c r="A385" s="9">
        <v>384</v>
      </c>
      <c r="B385" s="7" t="s">
        <v>432</v>
      </c>
      <c r="C385" s="8">
        <v>38.6</v>
      </c>
      <c r="D385" s="8">
        <v>11.7</v>
      </c>
      <c r="E385" s="8">
        <v>26.1</v>
      </c>
      <c r="F385" s="8">
        <v>37.1</v>
      </c>
      <c r="G385" s="8">
        <v>34.9</v>
      </c>
      <c r="H385" s="8">
        <v>78.599999999999994</v>
      </c>
    </row>
    <row r="386" spans="1:8" ht="20" x14ac:dyDescent="0.2">
      <c r="A386" s="9">
        <v>385</v>
      </c>
      <c r="B386" s="7" t="s">
        <v>433</v>
      </c>
      <c r="C386" s="8">
        <v>38.5</v>
      </c>
      <c r="D386" s="8">
        <v>21.2</v>
      </c>
      <c r="E386" s="8">
        <v>30.4</v>
      </c>
      <c r="F386" s="8">
        <v>38.6</v>
      </c>
      <c r="G386" s="8">
        <v>25.4</v>
      </c>
      <c r="H386" s="8">
        <v>106.7</v>
      </c>
    </row>
    <row r="387" spans="1:8" ht="20" x14ac:dyDescent="0.2">
      <c r="A387" s="9">
        <v>386</v>
      </c>
      <c r="B387" s="7" t="s">
        <v>434</v>
      </c>
      <c r="C387" s="8">
        <v>38.5</v>
      </c>
      <c r="D387" s="8">
        <v>10.199999999999999</v>
      </c>
      <c r="E387" s="8">
        <v>25.3</v>
      </c>
      <c r="F387" s="8">
        <v>35.6</v>
      </c>
      <c r="G387" s="8">
        <v>42.2</v>
      </c>
      <c r="H387" s="8">
        <v>70.7</v>
      </c>
    </row>
    <row r="388" spans="1:8" ht="20" x14ac:dyDescent="0.2">
      <c r="A388" s="9">
        <v>387</v>
      </c>
      <c r="B388" s="7" t="s">
        <v>435</v>
      </c>
      <c r="C388" s="8">
        <v>38</v>
      </c>
      <c r="D388" s="8">
        <v>11</v>
      </c>
      <c r="E388" s="8">
        <v>25.5</v>
      </c>
      <c r="F388" s="8">
        <v>37.6</v>
      </c>
      <c r="G388" s="8">
        <v>38.299999999999997</v>
      </c>
      <c r="H388" s="8">
        <v>30.1</v>
      </c>
    </row>
    <row r="389" spans="1:8" ht="20" x14ac:dyDescent="0.2">
      <c r="A389" s="9">
        <v>388</v>
      </c>
      <c r="B389" s="7" t="s">
        <v>436</v>
      </c>
      <c r="C389" s="8">
        <v>37.9</v>
      </c>
      <c r="D389" s="8">
        <v>13.4</v>
      </c>
      <c r="E389" s="8">
        <v>26.5</v>
      </c>
      <c r="F389" s="8">
        <v>44.9</v>
      </c>
      <c r="G389" s="8">
        <v>31.5</v>
      </c>
      <c r="H389" s="8">
        <v>25.7</v>
      </c>
    </row>
    <row r="390" spans="1:8" ht="20" x14ac:dyDescent="0.2">
      <c r="A390" s="9">
        <v>389</v>
      </c>
      <c r="B390" s="7" t="s">
        <v>437</v>
      </c>
      <c r="C390" s="8">
        <v>37.700000000000003</v>
      </c>
      <c r="D390" s="8">
        <v>13.7</v>
      </c>
      <c r="E390" s="8">
        <v>26.5</v>
      </c>
      <c r="F390" s="8">
        <v>37.200000000000003</v>
      </c>
      <c r="G390" s="8">
        <v>38.700000000000003</v>
      </c>
      <c r="H390" s="8">
        <v>73.5</v>
      </c>
    </row>
    <row r="391" spans="1:8" ht="20" x14ac:dyDescent="0.2">
      <c r="A391" s="9">
        <v>390</v>
      </c>
      <c r="B391" s="7" t="s">
        <v>438</v>
      </c>
      <c r="C391" s="8">
        <v>37.700000000000003</v>
      </c>
      <c r="D391" s="8">
        <v>10.9</v>
      </c>
      <c r="E391" s="8">
        <v>25.2</v>
      </c>
      <c r="F391" s="8">
        <v>36.9</v>
      </c>
      <c r="G391" s="8">
        <v>41.7</v>
      </c>
      <c r="H391" s="8">
        <v>92.2</v>
      </c>
    </row>
    <row r="392" spans="1:8" ht="20" x14ac:dyDescent="0.2">
      <c r="A392" s="9">
        <v>391</v>
      </c>
      <c r="B392" s="7" t="s">
        <v>439</v>
      </c>
      <c r="C392" s="8">
        <v>37.700000000000003</v>
      </c>
      <c r="D392" s="8">
        <v>8.8000000000000007</v>
      </c>
      <c r="E392" s="8">
        <v>24.3</v>
      </c>
      <c r="F392" s="8">
        <v>37</v>
      </c>
      <c r="G392" s="8">
        <v>38.5</v>
      </c>
      <c r="H392" s="8">
        <v>88.3</v>
      </c>
    </row>
    <row r="393" spans="1:8" ht="20" x14ac:dyDescent="0.2">
      <c r="A393" s="9">
        <v>392</v>
      </c>
      <c r="B393" s="7" t="s">
        <v>440</v>
      </c>
      <c r="C393" s="8">
        <v>37.6</v>
      </c>
      <c r="D393" s="8">
        <v>8.8000000000000007</v>
      </c>
      <c r="E393" s="8">
        <v>24.2</v>
      </c>
      <c r="F393" s="8">
        <v>36.799999999999997</v>
      </c>
      <c r="G393" s="8">
        <v>32.1</v>
      </c>
      <c r="H393" s="8">
        <v>70</v>
      </c>
    </row>
    <row r="394" spans="1:8" ht="20" x14ac:dyDescent="0.2">
      <c r="A394" s="9">
        <v>393</v>
      </c>
      <c r="B394" s="7" t="s">
        <v>441</v>
      </c>
      <c r="C394" s="8">
        <v>37.5</v>
      </c>
      <c r="D394" s="8">
        <v>7.9</v>
      </c>
      <c r="E394" s="8">
        <v>23.7</v>
      </c>
      <c r="F394" s="8">
        <v>35.700000000000003</v>
      </c>
      <c r="G394" s="8">
        <v>39.9</v>
      </c>
      <c r="H394" s="8">
        <v>80.2</v>
      </c>
    </row>
    <row r="395" spans="1:8" ht="20" x14ac:dyDescent="0.2">
      <c r="A395" s="9">
        <v>394</v>
      </c>
      <c r="B395" s="7" t="s">
        <v>442</v>
      </c>
      <c r="C395" s="8">
        <v>37.5</v>
      </c>
      <c r="D395" s="8">
        <v>9.1</v>
      </c>
      <c r="E395" s="8">
        <v>24.3</v>
      </c>
      <c r="F395" s="8">
        <v>38.6</v>
      </c>
      <c r="G395" s="8">
        <v>30.9</v>
      </c>
      <c r="H395" s="8">
        <v>58.4</v>
      </c>
    </row>
    <row r="396" spans="1:8" ht="20" x14ac:dyDescent="0.2">
      <c r="A396" s="9">
        <v>395</v>
      </c>
      <c r="B396" s="7" t="s">
        <v>443</v>
      </c>
      <c r="C396" s="8">
        <v>37.4</v>
      </c>
      <c r="D396" s="8">
        <v>22.9</v>
      </c>
      <c r="E396" s="8">
        <v>30.6</v>
      </c>
      <c r="F396" s="8">
        <v>38.200000000000003</v>
      </c>
      <c r="G396" s="8">
        <v>24.4</v>
      </c>
      <c r="H396" s="8">
        <v>98.9</v>
      </c>
    </row>
    <row r="397" spans="1:8" ht="20" x14ac:dyDescent="0.2">
      <c r="A397" s="9">
        <v>396</v>
      </c>
      <c r="B397" s="7" t="s">
        <v>444</v>
      </c>
      <c r="C397" s="8">
        <v>37.4</v>
      </c>
      <c r="D397" s="8">
        <v>17.5</v>
      </c>
      <c r="E397" s="8">
        <v>28.2</v>
      </c>
      <c r="F397" s="8">
        <v>40.1</v>
      </c>
      <c r="G397" s="8">
        <v>24.5</v>
      </c>
      <c r="H397" s="8">
        <v>113.2</v>
      </c>
    </row>
    <row r="398" spans="1:8" ht="20" x14ac:dyDescent="0.2">
      <c r="A398" s="9">
        <v>397</v>
      </c>
      <c r="B398" s="7" t="s">
        <v>445</v>
      </c>
      <c r="C398" s="8">
        <v>37.299999999999997</v>
      </c>
      <c r="D398" s="8">
        <v>16.100000000000001</v>
      </c>
      <c r="E398" s="8">
        <v>27.5</v>
      </c>
      <c r="F398" s="8">
        <v>35.6</v>
      </c>
      <c r="G398" s="8">
        <v>42</v>
      </c>
      <c r="H398" s="8">
        <v>55.3</v>
      </c>
    </row>
    <row r="399" spans="1:8" ht="20" x14ac:dyDescent="0.2">
      <c r="A399" s="9">
        <v>398</v>
      </c>
      <c r="B399" s="7" t="s">
        <v>446</v>
      </c>
      <c r="C399" s="8">
        <v>37.299999999999997</v>
      </c>
      <c r="D399" s="8">
        <v>7.8</v>
      </c>
      <c r="E399" s="8">
        <v>23.5</v>
      </c>
      <c r="F399" s="8">
        <v>35</v>
      </c>
      <c r="G399" s="8">
        <v>34.799999999999997</v>
      </c>
      <c r="H399" s="8">
        <v>71.7</v>
      </c>
    </row>
    <row r="400" spans="1:8" ht="20" x14ac:dyDescent="0.2">
      <c r="A400" s="9">
        <v>399</v>
      </c>
      <c r="B400" s="7" t="s">
        <v>447</v>
      </c>
      <c r="C400" s="8">
        <v>37.200000000000003</v>
      </c>
      <c r="D400" s="8">
        <v>16.8</v>
      </c>
      <c r="E400" s="8">
        <v>27.7</v>
      </c>
      <c r="F400" s="8">
        <v>34.5</v>
      </c>
      <c r="G400" s="8">
        <v>34.700000000000003</v>
      </c>
      <c r="H400" s="8">
        <v>78.099999999999994</v>
      </c>
    </row>
    <row r="401" spans="1:8" ht="20" x14ac:dyDescent="0.2">
      <c r="A401" s="9">
        <v>400</v>
      </c>
      <c r="B401" s="7" t="s">
        <v>448</v>
      </c>
      <c r="C401" s="8">
        <v>36.9</v>
      </c>
      <c r="D401" s="8">
        <v>14.6</v>
      </c>
      <c r="E401" s="8">
        <v>26.5</v>
      </c>
      <c r="F401" s="8">
        <v>41.4</v>
      </c>
      <c r="G401" s="8">
        <v>26.6</v>
      </c>
      <c r="H401" s="8">
        <v>34.4</v>
      </c>
    </row>
    <row r="402" spans="1:8" ht="20" x14ac:dyDescent="0.2">
      <c r="A402" s="9">
        <v>401</v>
      </c>
      <c r="B402" s="7" t="s">
        <v>449</v>
      </c>
      <c r="C402" s="8">
        <v>36.700000000000003</v>
      </c>
      <c r="D402" s="8">
        <v>14.8</v>
      </c>
      <c r="E402" s="8">
        <v>26.5</v>
      </c>
      <c r="F402" s="8">
        <v>35.9</v>
      </c>
      <c r="G402" s="8">
        <v>41.4</v>
      </c>
      <c r="H402" s="8">
        <v>46.6</v>
      </c>
    </row>
    <row r="403" spans="1:8" ht="20" x14ac:dyDescent="0.2">
      <c r="A403" s="9">
        <v>402</v>
      </c>
      <c r="B403" s="7" t="s">
        <v>450</v>
      </c>
      <c r="C403" s="8">
        <v>36.6</v>
      </c>
      <c r="D403" s="8">
        <v>14.6</v>
      </c>
      <c r="E403" s="8">
        <v>26.4</v>
      </c>
      <c r="F403" s="8">
        <v>32.9</v>
      </c>
      <c r="G403" s="8">
        <v>35.700000000000003</v>
      </c>
      <c r="H403" s="8">
        <v>60.8</v>
      </c>
    </row>
    <row r="404" spans="1:8" ht="20" x14ac:dyDescent="0.2">
      <c r="A404" s="9">
        <v>403</v>
      </c>
      <c r="B404" s="7" t="s">
        <v>451</v>
      </c>
      <c r="C404" s="8">
        <v>36.5</v>
      </c>
      <c r="D404" s="8">
        <v>12.5</v>
      </c>
      <c r="E404" s="8">
        <v>25.3</v>
      </c>
      <c r="F404" s="8">
        <v>34.9</v>
      </c>
      <c r="G404" s="8">
        <v>38.799999999999997</v>
      </c>
      <c r="H404" s="8">
        <v>57.9</v>
      </c>
    </row>
    <row r="405" spans="1:8" ht="20" x14ac:dyDescent="0.2">
      <c r="A405" s="9">
        <v>404</v>
      </c>
      <c r="B405" s="7" t="s">
        <v>452</v>
      </c>
      <c r="C405" s="8">
        <v>36.5</v>
      </c>
      <c r="D405" s="8">
        <v>14.7</v>
      </c>
      <c r="E405" s="8">
        <v>26.4</v>
      </c>
      <c r="F405" s="8">
        <v>36.799999999999997</v>
      </c>
      <c r="G405" s="8">
        <v>31.7</v>
      </c>
      <c r="H405" s="8">
        <v>40.799999999999997</v>
      </c>
    </row>
    <row r="406" spans="1:8" ht="20" x14ac:dyDescent="0.2">
      <c r="A406" s="9">
        <v>405</v>
      </c>
      <c r="B406" s="7" t="s">
        <v>453</v>
      </c>
      <c r="C406" s="8">
        <v>36.4</v>
      </c>
      <c r="D406" s="8">
        <v>14.2</v>
      </c>
      <c r="E406" s="8">
        <v>26.1</v>
      </c>
      <c r="F406" s="8">
        <v>34.200000000000003</v>
      </c>
      <c r="G406" s="8">
        <v>39</v>
      </c>
      <c r="H406" s="8">
        <v>62.2</v>
      </c>
    </row>
    <row r="407" spans="1:8" ht="20" x14ac:dyDescent="0.2">
      <c r="A407" s="9">
        <v>406</v>
      </c>
      <c r="B407" s="7" t="s">
        <v>454</v>
      </c>
      <c r="C407" s="8">
        <v>36.4</v>
      </c>
      <c r="D407" s="8">
        <v>9.5</v>
      </c>
      <c r="E407" s="8">
        <v>23.9</v>
      </c>
      <c r="F407" s="8">
        <v>38.4</v>
      </c>
      <c r="G407" s="8">
        <v>32</v>
      </c>
      <c r="H407" s="8">
        <v>90.3</v>
      </c>
    </row>
    <row r="408" spans="1:8" ht="20" x14ac:dyDescent="0.2">
      <c r="A408" s="9">
        <v>407</v>
      </c>
      <c r="B408" s="7" t="s">
        <v>455</v>
      </c>
      <c r="C408" s="8">
        <v>36.299999999999997</v>
      </c>
      <c r="D408" s="8">
        <v>10.1</v>
      </c>
      <c r="E408" s="8">
        <v>24.1</v>
      </c>
      <c r="F408" s="8">
        <v>40.299999999999997</v>
      </c>
      <c r="G408" s="8">
        <v>29.5</v>
      </c>
      <c r="H408" s="8">
        <v>109.6</v>
      </c>
    </row>
    <row r="409" spans="1:8" ht="20" x14ac:dyDescent="0.2">
      <c r="A409" s="9">
        <v>408</v>
      </c>
      <c r="B409" s="7" t="s">
        <v>456</v>
      </c>
      <c r="C409" s="8">
        <v>36.299999999999997</v>
      </c>
      <c r="D409" s="8">
        <v>10.5</v>
      </c>
      <c r="E409" s="8">
        <v>24.3</v>
      </c>
      <c r="F409" s="8">
        <v>35</v>
      </c>
      <c r="G409" s="8">
        <v>34.5</v>
      </c>
      <c r="H409" s="8">
        <v>46.6</v>
      </c>
    </row>
    <row r="410" spans="1:8" ht="20" x14ac:dyDescent="0.2">
      <c r="A410" s="9">
        <v>409</v>
      </c>
      <c r="B410" s="7" t="s">
        <v>457</v>
      </c>
      <c r="C410" s="8">
        <v>36.1</v>
      </c>
      <c r="D410" s="8">
        <v>10.8</v>
      </c>
      <c r="E410" s="8">
        <v>24.4</v>
      </c>
      <c r="F410" s="8">
        <v>40.9</v>
      </c>
      <c r="G410" s="8">
        <v>38.200000000000003</v>
      </c>
      <c r="H410" s="8">
        <v>13.1</v>
      </c>
    </row>
    <row r="411" spans="1:8" ht="20" x14ac:dyDescent="0.2">
      <c r="A411" s="9">
        <v>410</v>
      </c>
      <c r="B411" s="7" t="s">
        <v>458</v>
      </c>
      <c r="C411" s="8">
        <v>35.700000000000003</v>
      </c>
      <c r="D411" s="8">
        <v>7.7</v>
      </c>
      <c r="E411" s="8">
        <v>22.7</v>
      </c>
      <c r="F411" s="8">
        <v>44.7</v>
      </c>
      <c r="G411" s="8">
        <v>26.4</v>
      </c>
      <c r="H411" s="8">
        <v>48.1</v>
      </c>
    </row>
    <row r="412" spans="1:8" ht="20" x14ac:dyDescent="0.2">
      <c r="A412" s="9">
        <v>411</v>
      </c>
      <c r="B412" s="7" t="s">
        <v>459</v>
      </c>
      <c r="C412" s="8">
        <v>35.700000000000003</v>
      </c>
      <c r="D412" s="8">
        <v>30.5</v>
      </c>
      <c r="E412" s="8">
        <v>33.299999999999997</v>
      </c>
      <c r="F412" s="8">
        <v>47.2</v>
      </c>
      <c r="G412" s="8">
        <v>23.4</v>
      </c>
      <c r="H412" s="8">
        <v>12.8</v>
      </c>
    </row>
    <row r="413" spans="1:8" ht="20" x14ac:dyDescent="0.2">
      <c r="A413" s="9">
        <v>412</v>
      </c>
      <c r="B413" s="7" t="s">
        <v>460</v>
      </c>
      <c r="C413" s="8">
        <v>35.700000000000003</v>
      </c>
      <c r="D413" s="8">
        <v>12.3</v>
      </c>
      <c r="E413" s="8">
        <v>24.8</v>
      </c>
      <c r="F413" s="8">
        <v>40.700000000000003</v>
      </c>
      <c r="G413" s="8">
        <v>23.5</v>
      </c>
      <c r="H413" s="8">
        <v>108</v>
      </c>
    </row>
    <row r="414" spans="1:8" ht="20" x14ac:dyDescent="0.2">
      <c r="A414" s="9">
        <v>413</v>
      </c>
      <c r="B414" s="7" t="s">
        <v>461</v>
      </c>
      <c r="C414" s="8">
        <v>35.4</v>
      </c>
      <c r="D414" s="8">
        <v>13.7</v>
      </c>
      <c r="E414" s="8">
        <v>25.3</v>
      </c>
      <c r="F414" s="8">
        <v>32.299999999999997</v>
      </c>
      <c r="G414" s="8">
        <v>33.299999999999997</v>
      </c>
      <c r="H414" s="8">
        <v>65.2</v>
      </c>
    </row>
    <row r="415" spans="1:8" ht="20" x14ac:dyDescent="0.2">
      <c r="A415" s="9">
        <v>414</v>
      </c>
      <c r="B415" s="7" t="s">
        <v>462</v>
      </c>
      <c r="C415" s="8">
        <v>35.4</v>
      </c>
      <c r="D415" s="8">
        <v>10</v>
      </c>
      <c r="E415" s="8">
        <v>23.6</v>
      </c>
      <c r="F415" s="8">
        <v>36.6</v>
      </c>
      <c r="G415" s="8">
        <v>32.4</v>
      </c>
      <c r="H415" s="8">
        <v>52</v>
      </c>
    </row>
    <row r="416" spans="1:8" ht="20" x14ac:dyDescent="0.2">
      <c r="A416" s="9">
        <v>415</v>
      </c>
      <c r="B416" s="7" t="s">
        <v>463</v>
      </c>
      <c r="C416" s="8">
        <v>35.200000000000003</v>
      </c>
      <c r="D416" s="8">
        <v>10.199999999999999</v>
      </c>
      <c r="E416" s="8">
        <v>23.6</v>
      </c>
      <c r="F416" s="8">
        <v>37</v>
      </c>
      <c r="G416" s="8">
        <v>28</v>
      </c>
      <c r="H416" s="8">
        <v>43.3</v>
      </c>
    </row>
    <row r="417" spans="1:8" ht="20" x14ac:dyDescent="0.2">
      <c r="A417" s="9">
        <v>416</v>
      </c>
      <c r="B417" s="7" t="s">
        <v>464</v>
      </c>
      <c r="C417" s="8">
        <v>35.200000000000003</v>
      </c>
      <c r="D417" s="8">
        <v>11.1</v>
      </c>
      <c r="E417" s="8">
        <v>24</v>
      </c>
      <c r="F417" s="8">
        <v>34.1</v>
      </c>
      <c r="G417" s="8">
        <v>36.200000000000003</v>
      </c>
      <c r="H417" s="8">
        <v>59.1</v>
      </c>
    </row>
    <row r="418" spans="1:8" ht="20" x14ac:dyDescent="0.2">
      <c r="A418" s="9">
        <v>417</v>
      </c>
      <c r="B418" s="7" t="s">
        <v>465</v>
      </c>
      <c r="C418" s="8">
        <v>35.1</v>
      </c>
      <c r="D418" s="8">
        <v>12.4</v>
      </c>
      <c r="E418" s="8">
        <v>24.6</v>
      </c>
      <c r="F418" s="8">
        <v>39.299999999999997</v>
      </c>
      <c r="G418" s="8">
        <v>25</v>
      </c>
      <c r="H418" s="8">
        <v>108.4</v>
      </c>
    </row>
    <row r="419" spans="1:8" ht="20" x14ac:dyDescent="0.2">
      <c r="A419" s="9">
        <v>418</v>
      </c>
      <c r="B419" s="7" t="s">
        <v>466</v>
      </c>
      <c r="C419" s="8">
        <v>35.1</v>
      </c>
      <c r="D419" s="8">
        <v>12.2</v>
      </c>
      <c r="E419" s="8">
        <v>24.4</v>
      </c>
      <c r="F419" s="8">
        <v>34</v>
      </c>
      <c r="G419" s="8">
        <v>33.200000000000003</v>
      </c>
      <c r="H419" s="8">
        <v>39.299999999999997</v>
      </c>
    </row>
    <row r="420" spans="1:8" ht="20" x14ac:dyDescent="0.2">
      <c r="A420" s="9">
        <v>419</v>
      </c>
      <c r="B420" s="7" t="s">
        <v>467</v>
      </c>
      <c r="C420" s="8">
        <v>35</v>
      </c>
      <c r="D420" s="8">
        <v>9.3000000000000007</v>
      </c>
      <c r="E420" s="8">
        <v>23.1</v>
      </c>
      <c r="F420" s="8">
        <v>36.299999999999997</v>
      </c>
      <c r="G420" s="8">
        <v>31.6</v>
      </c>
      <c r="H420" s="8">
        <v>60.7</v>
      </c>
    </row>
    <row r="421" spans="1:8" ht="20" x14ac:dyDescent="0.2">
      <c r="A421" s="9">
        <v>420</v>
      </c>
      <c r="B421" s="7" t="s">
        <v>468</v>
      </c>
      <c r="C421" s="8">
        <v>35</v>
      </c>
      <c r="D421" s="8">
        <v>8.6</v>
      </c>
      <c r="E421" s="8">
        <v>22.7</v>
      </c>
      <c r="F421" s="8">
        <v>31.9</v>
      </c>
      <c r="G421" s="8">
        <v>37.299999999999997</v>
      </c>
      <c r="H421" s="8">
        <v>42.7</v>
      </c>
    </row>
    <row r="422" spans="1:8" ht="20" x14ac:dyDescent="0.2">
      <c r="A422" s="9">
        <v>421</v>
      </c>
      <c r="B422" s="7" t="s">
        <v>469</v>
      </c>
      <c r="C422" s="8">
        <v>34.9</v>
      </c>
      <c r="D422" s="8">
        <v>9</v>
      </c>
      <c r="E422" s="8">
        <v>22.9</v>
      </c>
      <c r="F422" s="8">
        <v>33.5</v>
      </c>
      <c r="G422" s="8">
        <v>36.9</v>
      </c>
      <c r="H422" s="8">
        <v>48.6</v>
      </c>
    </row>
    <row r="423" spans="1:8" ht="20" x14ac:dyDescent="0.2">
      <c r="A423" s="9">
        <v>422</v>
      </c>
      <c r="B423" s="7" t="s">
        <v>470</v>
      </c>
      <c r="C423" s="8">
        <v>34.9</v>
      </c>
      <c r="D423" s="8">
        <v>12.9</v>
      </c>
      <c r="E423" s="8">
        <v>24.6</v>
      </c>
      <c r="F423" s="8">
        <v>39.299999999999997</v>
      </c>
      <c r="G423" s="8">
        <v>29.1</v>
      </c>
      <c r="H423" s="8">
        <v>49.2</v>
      </c>
    </row>
    <row r="424" spans="1:8" ht="20" x14ac:dyDescent="0.2">
      <c r="A424" s="9">
        <v>423</v>
      </c>
      <c r="B424" s="7" t="s">
        <v>471</v>
      </c>
      <c r="C424" s="8">
        <v>34.700000000000003</v>
      </c>
      <c r="D424" s="8">
        <v>7.6</v>
      </c>
      <c r="E424" s="8">
        <v>22.1</v>
      </c>
      <c r="F424" s="8">
        <v>31.5</v>
      </c>
      <c r="G424" s="8">
        <v>27.9</v>
      </c>
      <c r="H424" s="8">
        <v>43.8</v>
      </c>
    </row>
    <row r="425" spans="1:8" ht="20" x14ac:dyDescent="0.2">
      <c r="A425" s="9">
        <v>424</v>
      </c>
      <c r="B425" s="7" t="s">
        <v>472</v>
      </c>
      <c r="C425" s="8">
        <v>34.6</v>
      </c>
      <c r="D425" s="8">
        <v>10.4</v>
      </c>
      <c r="E425" s="8">
        <v>23.3</v>
      </c>
      <c r="F425" s="8">
        <v>32</v>
      </c>
      <c r="G425" s="8">
        <v>30.2</v>
      </c>
      <c r="H425" s="8">
        <v>106.2</v>
      </c>
    </row>
    <row r="426" spans="1:8" ht="20" x14ac:dyDescent="0.2">
      <c r="A426" s="9">
        <v>425</v>
      </c>
      <c r="B426" s="7" t="s">
        <v>473</v>
      </c>
      <c r="C426" s="8">
        <v>34.5</v>
      </c>
      <c r="D426" s="8">
        <v>12.6</v>
      </c>
      <c r="E426" s="8">
        <v>24.3</v>
      </c>
      <c r="F426" s="8">
        <v>35.700000000000003</v>
      </c>
      <c r="G426" s="8">
        <v>31.4</v>
      </c>
      <c r="H426" s="8">
        <v>41.4</v>
      </c>
    </row>
    <row r="427" spans="1:8" ht="20" x14ac:dyDescent="0.2">
      <c r="A427" s="9">
        <v>426</v>
      </c>
      <c r="B427" s="7" t="s">
        <v>474</v>
      </c>
      <c r="C427" s="8">
        <v>34.5</v>
      </c>
      <c r="D427" s="8">
        <v>16.7</v>
      </c>
      <c r="E427" s="8">
        <v>26.2</v>
      </c>
      <c r="F427" s="8">
        <v>38</v>
      </c>
      <c r="G427" s="8">
        <v>26.7</v>
      </c>
      <c r="H427" s="8">
        <v>43.8</v>
      </c>
    </row>
    <row r="428" spans="1:8" ht="20" x14ac:dyDescent="0.2">
      <c r="A428" s="9">
        <v>427</v>
      </c>
      <c r="B428" s="7" t="s">
        <v>475</v>
      </c>
      <c r="C428" s="8">
        <v>34.5</v>
      </c>
      <c r="D428" s="8">
        <v>10</v>
      </c>
      <c r="E428" s="8">
        <v>23.1</v>
      </c>
      <c r="F428" s="8">
        <v>47.6</v>
      </c>
      <c r="G428" s="8">
        <v>26.8</v>
      </c>
      <c r="H428" s="8">
        <v>20.6</v>
      </c>
    </row>
    <row r="429" spans="1:8" ht="20" x14ac:dyDescent="0.2">
      <c r="A429" s="9">
        <v>428</v>
      </c>
      <c r="B429" s="7" t="s">
        <v>476</v>
      </c>
      <c r="C429" s="8">
        <v>34.4</v>
      </c>
      <c r="D429" s="8">
        <v>15.9</v>
      </c>
      <c r="E429" s="8">
        <v>25.8</v>
      </c>
      <c r="F429" s="8">
        <v>40.6</v>
      </c>
      <c r="G429" s="8">
        <v>26.1</v>
      </c>
      <c r="H429" s="8">
        <v>35.5</v>
      </c>
    </row>
    <row r="430" spans="1:8" ht="20" x14ac:dyDescent="0.2">
      <c r="A430" s="9">
        <v>429</v>
      </c>
      <c r="B430" s="7" t="s">
        <v>477</v>
      </c>
      <c r="C430" s="8">
        <v>34.4</v>
      </c>
      <c r="D430" s="8">
        <v>10.5</v>
      </c>
      <c r="E430" s="8">
        <v>23.3</v>
      </c>
      <c r="F430" s="8">
        <v>29.8</v>
      </c>
      <c r="G430" s="8">
        <v>31.9</v>
      </c>
      <c r="H430" s="8">
        <v>53.8</v>
      </c>
    </row>
    <row r="431" spans="1:8" ht="20" x14ac:dyDescent="0.2">
      <c r="A431" s="9">
        <v>430</v>
      </c>
      <c r="B431" s="7" t="s">
        <v>478</v>
      </c>
      <c r="C431" s="8">
        <v>34.299999999999997</v>
      </c>
      <c r="D431" s="8">
        <v>14.5</v>
      </c>
      <c r="E431" s="8">
        <v>25.1</v>
      </c>
      <c r="F431" s="8">
        <v>44.8</v>
      </c>
      <c r="G431" s="8">
        <v>21.3</v>
      </c>
      <c r="H431" s="8">
        <v>37.200000000000003</v>
      </c>
    </row>
    <row r="432" spans="1:8" ht="20" x14ac:dyDescent="0.2">
      <c r="A432" s="9">
        <v>431</v>
      </c>
      <c r="B432" s="7" t="s">
        <v>479</v>
      </c>
      <c r="C432" s="8">
        <v>34.299999999999997</v>
      </c>
      <c r="D432" s="8">
        <v>7</v>
      </c>
      <c r="E432" s="8">
        <v>21.6</v>
      </c>
      <c r="F432" s="8">
        <v>31.2</v>
      </c>
      <c r="G432" s="8">
        <v>30.7</v>
      </c>
      <c r="H432" s="8">
        <v>43.8</v>
      </c>
    </row>
    <row r="433" spans="1:8" ht="20" x14ac:dyDescent="0.2">
      <c r="A433" s="9">
        <v>432</v>
      </c>
      <c r="B433" s="7" t="s">
        <v>480</v>
      </c>
      <c r="C433" s="8">
        <v>34.200000000000003</v>
      </c>
      <c r="D433" s="8">
        <v>11.5</v>
      </c>
      <c r="E433" s="8">
        <v>23.6</v>
      </c>
      <c r="F433" s="8">
        <v>35.299999999999997</v>
      </c>
      <c r="G433" s="8">
        <v>30.3</v>
      </c>
      <c r="H433" s="8">
        <v>44.4</v>
      </c>
    </row>
    <row r="434" spans="1:8" ht="20" x14ac:dyDescent="0.2">
      <c r="A434" s="9">
        <v>433</v>
      </c>
      <c r="B434" s="7" t="s">
        <v>481</v>
      </c>
      <c r="C434" s="8">
        <v>34.1</v>
      </c>
      <c r="D434" s="8">
        <v>8.1</v>
      </c>
      <c r="E434" s="8">
        <v>22</v>
      </c>
      <c r="F434" s="8">
        <v>43.4</v>
      </c>
      <c r="G434" s="8">
        <v>24.6</v>
      </c>
      <c r="H434" s="8">
        <v>85.5</v>
      </c>
    </row>
    <row r="435" spans="1:8" ht="20" x14ac:dyDescent="0.2">
      <c r="A435" s="9">
        <v>434</v>
      </c>
      <c r="B435" s="7" t="s">
        <v>482</v>
      </c>
      <c r="C435" s="8">
        <v>34.1</v>
      </c>
      <c r="D435" s="8">
        <v>10</v>
      </c>
      <c r="E435" s="8">
        <v>22.9</v>
      </c>
      <c r="F435" s="8">
        <v>36.6</v>
      </c>
      <c r="G435" s="8">
        <v>34.4</v>
      </c>
      <c r="H435" s="8">
        <v>53</v>
      </c>
    </row>
    <row r="436" spans="1:8" ht="20" x14ac:dyDescent="0.2">
      <c r="A436" s="9">
        <v>435</v>
      </c>
      <c r="B436" s="7" t="s">
        <v>483</v>
      </c>
      <c r="C436" s="8">
        <v>34.1</v>
      </c>
      <c r="D436" s="8">
        <v>8.8000000000000007</v>
      </c>
      <c r="E436" s="8">
        <v>22.3</v>
      </c>
      <c r="F436" s="8">
        <v>34.9</v>
      </c>
      <c r="G436" s="8">
        <v>31.1</v>
      </c>
      <c r="H436" s="8">
        <v>45.6</v>
      </c>
    </row>
    <row r="437" spans="1:8" ht="20" x14ac:dyDescent="0.2">
      <c r="A437" s="9">
        <v>436</v>
      </c>
      <c r="B437" s="7" t="s">
        <v>484</v>
      </c>
      <c r="C437" s="8">
        <v>34.1</v>
      </c>
      <c r="D437" s="8">
        <v>8.1</v>
      </c>
      <c r="E437" s="8">
        <v>22</v>
      </c>
      <c r="F437" s="8">
        <v>33.299999999999997</v>
      </c>
      <c r="G437" s="8">
        <v>38</v>
      </c>
      <c r="H437" s="8">
        <v>63.7</v>
      </c>
    </row>
    <row r="438" spans="1:8" ht="20" x14ac:dyDescent="0.2">
      <c r="A438" s="9">
        <v>437</v>
      </c>
      <c r="B438" s="7" t="s">
        <v>485</v>
      </c>
      <c r="C438" s="8">
        <v>34</v>
      </c>
      <c r="D438" s="8">
        <v>11.6</v>
      </c>
      <c r="E438" s="8">
        <v>23.6</v>
      </c>
      <c r="F438" s="8">
        <v>33.200000000000003</v>
      </c>
      <c r="G438" s="8">
        <v>32.5</v>
      </c>
      <c r="H438" s="8">
        <v>64</v>
      </c>
    </row>
    <row r="439" spans="1:8" ht="20" x14ac:dyDescent="0.2">
      <c r="A439" s="9">
        <v>438</v>
      </c>
      <c r="B439" s="7" t="s">
        <v>486</v>
      </c>
      <c r="C439" s="8">
        <v>34</v>
      </c>
      <c r="D439" s="8">
        <v>8.8000000000000007</v>
      </c>
      <c r="E439" s="8">
        <v>22.3</v>
      </c>
      <c r="F439" s="8">
        <v>32.6</v>
      </c>
      <c r="G439" s="8">
        <v>36.799999999999997</v>
      </c>
      <c r="H439" s="8">
        <v>62.2</v>
      </c>
    </row>
    <row r="440" spans="1:8" ht="20" x14ac:dyDescent="0.2">
      <c r="A440" s="9">
        <v>439</v>
      </c>
      <c r="B440" s="7" t="s">
        <v>487</v>
      </c>
      <c r="C440" s="8">
        <v>34</v>
      </c>
      <c r="D440" s="8">
        <v>7.8</v>
      </c>
      <c r="E440" s="8">
        <v>21.8</v>
      </c>
      <c r="F440" s="8">
        <v>30.2</v>
      </c>
      <c r="G440" s="8">
        <v>35.799999999999997</v>
      </c>
      <c r="H440" s="8">
        <v>4.4000000000000004</v>
      </c>
    </row>
    <row r="441" spans="1:8" ht="20" x14ac:dyDescent="0.2">
      <c r="A441" s="9">
        <v>440</v>
      </c>
      <c r="B441" s="7" t="s">
        <v>488</v>
      </c>
      <c r="C441" s="8">
        <v>33.9</v>
      </c>
      <c r="D441" s="8">
        <v>9.9</v>
      </c>
      <c r="E441" s="8">
        <v>22.7</v>
      </c>
      <c r="F441" s="8">
        <v>42.2</v>
      </c>
      <c r="G441" s="8">
        <v>21.1</v>
      </c>
      <c r="H441" s="8">
        <v>54</v>
      </c>
    </row>
    <row r="442" spans="1:8" ht="20" x14ac:dyDescent="0.2">
      <c r="A442" s="9">
        <v>441</v>
      </c>
      <c r="B442" s="7" t="s">
        <v>489</v>
      </c>
      <c r="C442" s="8">
        <v>33.799999999999997</v>
      </c>
      <c r="D442" s="8">
        <v>10.1</v>
      </c>
      <c r="E442" s="8">
        <v>22.8</v>
      </c>
      <c r="F442" s="8">
        <v>29.8</v>
      </c>
      <c r="G442" s="8">
        <v>33.6</v>
      </c>
      <c r="H442" s="8">
        <v>63.5</v>
      </c>
    </row>
    <row r="443" spans="1:8" ht="20" x14ac:dyDescent="0.2">
      <c r="A443" s="9">
        <v>442</v>
      </c>
      <c r="B443" s="7" t="s">
        <v>490</v>
      </c>
      <c r="C443" s="8">
        <v>33.700000000000003</v>
      </c>
      <c r="D443" s="8">
        <v>6.7</v>
      </c>
      <c r="E443" s="8">
        <v>21.2</v>
      </c>
      <c r="F443" s="8">
        <v>34.5</v>
      </c>
      <c r="G443" s="8">
        <v>34.799999999999997</v>
      </c>
      <c r="H443" s="8">
        <v>103.7</v>
      </c>
    </row>
    <row r="444" spans="1:8" ht="20" x14ac:dyDescent="0.2">
      <c r="A444" s="9">
        <v>443</v>
      </c>
      <c r="B444" s="7" t="s">
        <v>491</v>
      </c>
      <c r="C444" s="8">
        <v>33.6</v>
      </c>
      <c r="D444" s="8">
        <v>11</v>
      </c>
      <c r="E444" s="8">
        <v>23.1</v>
      </c>
      <c r="F444" s="8">
        <v>32.1</v>
      </c>
      <c r="G444" s="8">
        <v>40.299999999999997</v>
      </c>
      <c r="H444" s="8">
        <v>47.4</v>
      </c>
    </row>
    <row r="445" spans="1:8" ht="20" x14ac:dyDescent="0.2">
      <c r="A445" s="9">
        <v>444</v>
      </c>
      <c r="B445" s="7" t="s">
        <v>492</v>
      </c>
      <c r="C445" s="8">
        <v>33.5</v>
      </c>
      <c r="D445" s="8">
        <v>11.9</v>
      </c>
      <c r="E445" s="8">
        <v>23.5</v>
      </c>
      <c r="F445" s="8">
        <v>35.299999999999997</v>
      </c>
      <c r="G445" s="8">
        <v>29.7</v>
      </c>
      <c r="H445" s="8">
        <v>60.1</v>
      </c>
    </row>
    <row r="446" spans="1:8" ht="20" x14ac:dyDescent="0.2">
      <c r="A446" s="9">
        <v>445</v>
      </c>
      <c r="B446" s="7" t="s">
        <v>493</v>
      </c>
      <c r="C446" s="8">
        <v>33.5</v>
      </c>
      <c r="D446" s="8">
        <v>9.6999999999999993</v>
      </c>
      <c r="E446" s="8">
        <v>22.4</v>
      </c>
      <c r="F446" s="8">
        <v>31.5</v>
      </c>
      <c r="G446" s="8">
        <v>29.3</v>
      </c>
      <c r="H446" s="8">
        <v>44.6</v>
      </c>
    </row>
    <row r="447" spans="1:8" ht="20" x14ac:dyDescent="0.2">
      <c r="A447" s="9">
        <v>446</v>
      </c>
      <c r="B447" s="7" t="s">
        <v>494</v>
      </c>
      <c r="C447" s="8">
        <v>33.5</v>
      </c>
      <c r="D447" s="8">
        <v>10.8</v>
      </c>
      <c r="E447" s="8">
        <v>22.9</v>
      </c>
      <c r="F447" s="8">
        <v>31.7</v>
      </c>
      <c r="G447" s="8">
        <v>35.6</v>
      </c>
      <c r="H447" s="8">
        <v>60.9</v>
      </c>
    </row>
    <row r="448" spans="1:8" ht="20" x14ac:dyDescent="0.2">
      <c r="A448" s="9">
        <v>447</v>
      </c>
      <c r="B448" s="7" t="s">
        <v>495</v>
      </c>
      <c r="C448" s="8">
        <v>33.4</v>
      </c>
      <c r="D448" s="8">
        <v>10.6</v>
      </c>
      <c r="E448" s="8">
        <v>22.8</v>
      </c>
      <c r="F448" s="8">
        <v>33</v>
      </c>
      <c r="G448" s="8">
        <v>30.7</v>
      </c>
      <c r="H448" s="8">
        <v>66.5</v>
      </c>
    </row>
    <row r="449" spans="1:8" ht="20" x14ac:dyDescent="0.2">
      <c r="A449" s="9">
        <v>448</v>
      </c>
      <c r="B449" s="7" t="s">
        <v>496</v>
      </c>
      <c r="C449" s="8">
        <v>33.200000000000003</v>
      </c>
      <c r="D449" s="8">
        <v>8.4</v>
      </c>
      <c r="E449" s="8">
        <v>21.6</v>
      </c>
      <c r="F449" s="8">
        <v>32.299999999999997</v>
      </c>
      <c r="G449" s="8">
        <v>35.5</v>
      </c>
      <c r="H449" s="8">
        <v>62.7</v>
      </c>
    </row>
    <row r="450" spans="1:8" ht="20" x14ac:dyDescent="0.2">
      <c r="A450" s="9">
        <v>449</v>
      </c>
      <c r="B450" s="7" t="s">
        <v>497</v>
      </c>
      <c r="C450" s="8">
        <v>33</v>
      </c>
      <c r="D450" s="8">
        <v>9.6</v>
      </c>
      <c r="E450" s="8">
        <v>22.1</v>
      </c>
      <c r="F450" s="8">
        <v>30.8</v>
      </c>
      <c r="G450" s="8">
        <v>31.7</v>
      </c>
      <c r="H450" s="8">
        <v>33.5</v>
      </c>
    </row>
    <row r="451" spans="1:8" ht="20" x14ac:dyDescent="0.2">
      <c r="A451" s="9">
        <v>450</v>
      </c>
      <c r="B451" s="7" t="s">
        <v>498</v>
      </c>
      <c r="C451" s="8">
        <v>32.9</v>
      </c>
      <c r="D451" s="8">
        <v>9.1</v>
      </c>
      <c r="E451" s="8">
        <v>21.9</v>
      </c>
      <c r="F451" s="8">
        <v>30.9</v>
      </c>
      <c r="G451" s="8">
        <v>30.8</v>
      </c>
      <c r="H451" s="8">
        <v>55.1</v>
      </c>
    </row>
    <row r="452" spans="1:8" ht="20" x14ac:dyDescent="0.2">
      <c r="A452" s="9">
        <v>451</v>
      </c>
      <c r="B452" s="7" t="s">
        <v>499</v>
      </c>
      <c r="C452" s="8">
        <v>32.6</v>
      </c>
      <c r="D452" s="8">
        <v>9</v>
      </c>
      <c r="E452" s="8">
        <v>21.6</v>
      </c>
      <c r="F452" s="8">
        <v>32</v>
      </c>
      <c r="G452" s="8">
        <v>30.5</v>
      </c>
      <c r="H452" s="8">
        <v>55.8</v>
      </c>
    </row>
    <row r="453" spans="1:8" ht="20" x14ac:dyDescent="0.2">
      <c r="A453" s="9">
        <v>452</v>
      </c>
      <c r="B453" s="7" t="s">
        <v>500</v>
      </c>
      <c r="C453" s="8">
        <v>32.6</v>
      </c>
      <c r="D453" s="8">
        <v>11.7</v>
      </c>
      <c r="E453" s="8">
        <v>22.9</v>
      </c>
      <c r="F453" s="8">
        <v>39.700000000000003</v>
      </c>
      <c r="G453" s="8">
        <v>22.8</v>
      </c>
      <c r="H453" s="8">
        <v>32.5</v>
      </c>
    </row>
    <row r="454" spans="1:8" ht="20" x14ac:dyDescent="0.2">
      <c r="A454" s="9">
        <v>453</v>
      </c>
      <c r="B454" s="7" t="s">
        <v>501</v>
      </c>
      <c r="C454" s="8">
        <v>32.6</v>
      </c>
      <c r="D454" s="8">
        <v>9.1</v>
      </c>
      <c r="E454" s="8">
        <v>21.7</v>
      </c>
      <c r="F454" s="8">
        <v>33.799999999999997</v>
      </c>
      <c r="G454" s="8">
        <v>25.4</v>
      </c>
      <c r="H454" s="8">
        <v>63</v>
      </c>
    </row>
    <row r="455" spans="1:8" ht="20" x14ac:dyDescent="0.2">
      <c r="A455" s="9">
        <v>454</v>
      </c>
      <c r="B455" s="7" t="s">
        <v>502</v>
      </c>
      <c r="C455" s="8">
        <v>32.5</v>
      </c>
      <c r="D455" s="8">
        <v>9.6999999999999993</v>
      </c>
      <c r="E455" s="8">
        <v>21.9</v>
      </c>
      <c r="F455" s="8">
        <v>29.7</v>
      </c>
      <c r="G455" s="8">
        <v>31.7</v>
      </c>
      <c r="H455" s="8">
        <v>68.099999999999994</v>
      </c>
    </row>
    <row r="456" spans="1:8" ht="20" x14ac:dyDescent="0.2">
      <c r="A456" s="9">
        <v>455</v>
      </c>
      <c r="B456" s="7" t="s">
        <v>503</v>
      </c>
      <c r="C456" s="8">
        <v>32.4</v>
      </c>
      <c r="D456" s="8">
        <v>9.4</v>
      </c>
      <c r="E456" s="8">
        <v>21.7</v>
      </c>
      <c r="F456" s="8">
        <v>31.1</v>
      </c>
      <c r="G456" s="8">
        <v>33.6</v>
      </c>
      <c r="H456" s="8">
        <v>68.400000000000006</v>
      </c>
    </row>
    <row r="457" spans="1:8" ht="20" x14ac:dyDescent="0.2">
      <c r="A457" s="9">
        <v>456</v>
      </c>
      <c r="B457" s="7" t="s">
        <v>504</v>
      </c>
      <c r="C457" s="8">
        <v>32.200000000000003</v>
      </c>
      <c r="D457" s="8">
        <v>7.3</v>
      </c>
      <c r="E457" s="8">
        <v>20.6</v>
      </c>
      <c r="F457" s="8">
        <v>38.299999999999997</v>
      </c>
      <c r="G457" s="8">
        <v>21</v>
      </c>
      <c r="H457" s="8">
        <v>43</v>
      </c>
    </row>
    <row r="458" spans="1:8" ht="20" x14ac:dyDescent="0.2">
      <c r="A458" s="9">
        <v>457</v>
      </c>
      <c r="B458" s="7" t="s">
        <v>505</v>
      </c>
      <c r="C458" s="8">
        <v>32.1</v>
      </c>
      <c r="D458" s="8">
        <v>7.5</v>
      </c>
      <c r="E458" s="8">
        <v>20.7</v>
      </c>
      <c r="F458" s="8">
        <v>34.200000000000003</v>
      </c>
      <c r="G458" s="8">
        <v>28.5</v>
      </c>
      <c r="H458" s="8">
        <v>50.8</v>
      </c>
    </row>
    <row r="459" spans="1:8" ht="20" x14ac:dyDescent="0.2">
      <c r="A459" s="9">
        <v>458</v>
      </c>
      <c r="B459" s="7" t="s">
        <v>506</v>
      </c>
      <c r="C459" s="8">
        <v>32</v>
      </c>
      <c r="D459" s="8">
        <v>12.7</v>
      </c>
      <c r="E459" s="8">
        <v>23.1</v>
      </c>
      <c r="F459" s="8">
        <v>32.5</v>
      </c>
      <c r="G459" s="8">
        <v>31.7</v>
      </c>
      <c r="H459" s="8">
        <v>60.7</v>
      </c>
    </row>
    <row r="460" spans="1:8" ht="20" x14ac:dyDescent="0.2">
      <c r="A460" s="9">
        <v>459</v>
      </c>
      <c r="B460" s="7" t="s">
        <v>507</v>
      </c>
      <c r="C460" s="8">
        <v>32</v>
      </c>
      <c r="D460" s="8">
        <v>5.8</v>
      </c>
      <c r="E460" s="8">
        <v>19.8</v>
      </c>
      <c r="F460" s="8">
        <v>36.4</v>
      </c>
      <c r="G460" s="8">
        <v>21.1</v>
      </c>
      <c r="H460" s="8">
        <v>38.9</v>
      </c>
    </row>
    <row r="461" spans="1:8" ht="20" x14ac:dyDescent="0.2">
      <c r="A461" s="9">
        <v>460</v>
      </c>
      <c r="B461" s="7" t="s">
        <v>508</v>
      </c>
      <c r="C461" s="8">
        <v>31.7</v>
      </c>
      <c r="D461" s="8">
        <v>18.899999999999999</v>
      </c>
      <c r="E461" s="8">
        <v>25.7</v>
      </c>
      <c r="F461" s="8">
        <v>30.7</v>
      </c>
      <c r="G461" s="8">
        <v>30.3</v>
      </c>
      <c r="H461" s="8">
        <v>9.6</v>
      </c>
    </row>
    <row r="462" spans="1:8" ht="20" x14ac:dyDescent="0.2">
      <c r="A462" s="9">
        <v>461</v>
      </c>
      <c r="B462" s="7" t="s">
        <v>509</v>
      </c>
      <c r="C462" s="8">
        <v>31.6</v>
      </c>
      <c r="D462" s="8">
        <v>6.1</v>
      </c>
      <c r="E462" s="8">
        <v>19.7</v>
      </c>
      <c r="F462" s="8">
        <v>38</v>
      </c>
      <c r="G462" s="8">
        <v>22</v>
      </c>
      <c r="H462" s="8">
        <v>116.2</v>
      </c>
    </row>
    <row r="463" spans="1:8" ht="20" x14ac:dyDescent="0.2">
      <c r="A463" s="9">
        <v>462</v>
      </c>
      <c r="B463" s="7" t="s">
        <v>510</v>
      </c>
      <c r="C463" s="8">
        <v>31.6</v>
      </c>
      <c r="D463" s="8">
        <v>11</v>
      </c>
      <c r="E463" s="8">
        <v>22</v>
      </c>
      <c r="F463" s="8">
        <v>33.799999999999997</v>
      </c>
      <c r="G463" s="8">
        <v>26.2</v>
      </c>
      <c r="H463" s="8">
        <v>44.6</v>
      </c>
    </row>
    <row r="464" spans="1:8" ht="20" x14ac:dyDescent="0.2">
      <c r="A464" s="9">
        <v>463</v>
      </c>
      <c r="B464" s="7" t="s">
        <v>511</v>
      </c>
      <c r="C464" s="8">
        <v>31.6</v>
      </c>
      <c r="D464" s="8">
        <v>8.9</v>
      </c>
      <c r="E464" s="8">
        <v>21</v>
      </c>
      <c r="F464" s="8">
        <v>31.4</v>
      </c>
      <c r="G464" s="8">
        <v>29.6</v>
      </c>
      <c r="H464" s="8">
        <v>49</v>
      </c>
    </row>
    <row r="465" spans="1:8" ht="20" x14ac:dyDescent="0.2">
      <c r="A465" s="9">
        <v>464</v>
      </c>
      <c r="B465" s="7" t="s">
        <v>512</v>
      </c>
      <c r="C465" s="8">
        <v>31.5</v>
      </c>
      <c r="D465" s="8">
        <v>9.6</v>
      </c>
      <c r="E465" s="8">
        <v>21.3</v>
      </c>
      <c r="F465" s="8">
        <v>30.2</v>
      </c>
      <c r="G465" s="8">
        <v>25.7</v>
      </c>
      <c r="H465" s="8">
        <v>47.4</v>
      </c>
    </row>
    <row r="466" spans="1:8" ht="20" x14ac:dyDescent="0.2">
      <c r="A466" s="9">
        <v>465</v>
      </c>
      <c r="B466" s="7" t="s">
        <v>513</v>
      </c>
      <c r="C466" s="8">
        <v>31.5</v>
      </c>
      <c r="D466" s="8">
        <v>11.8</v>
      </c>
      <c r="E466" s="8">
        <v>22.3</v>
      </c>
      <c r="F466" s="8">
        <v>32.1</v>
      </c>
      <c r="G466" s="8">
        <v>33.4</v>
      </c>
      <c r="H466" s="8">
        <v>61.8</v>
      </c>
    </row>
    <row r="467" spans="1:8" ht="20" x14ac:dyDescent="0.2">
      <c r="A467" s="9">
        <v>466</v>
      </c>
      <c r="B467" s="7" t="s">
        <v>514</v>
      </c>
      <c r="C467" s="8">
        <v>31.3</v>
      </c>
      <c r="D467" s="8">
        <v>10.3</v>
      </c>
      <c r="E467" s="8">
        <v>21.5</v>
      </c>
      <c r="F467" s="8">
        <v>33.4</v>
      </c>
      <c r="G467" s="8">
        <v>29</v>
      </c>
      <c r="H467" s="8">
        <v>36.4</v>
      </c>
    </row>
    <row r="468" spans="1:8" ht="20" x14ac:dyDescent="0.2">
      <c r="A468" s="9">
        <v>467</v>
      </c>
      <c r="B468" s="7" t="s">
        <v>515</v>
      </c>
      <c r="C468" s="8">
        <v>31.3</v>
      </c>
      <c r="D468" s="8">
        <v>11.3</v>
      </c>
      <c r="E468" s="8">
        <v>22</v>
      </c>
      <c r="F468" s="8">
        <v>31.4</v>
      </c>
      <c r="G468" s="8">
        <v>33</v>
      </c>
      <c r="H468" s="8">
        <v>76.8</v>
      </c>
    </row>
    <row r="469" spans="1:8" ht="20" x14ac:dyDescent="0.2">
      <c r="A469" s="9">
        <v>468</v>
      </c>
      <c r="B469" s="7" t="s">
        <v>516</v>
      </c>
      <c r="C469" s="8">
        <v>31</v>
      </c>
      <c r="D469" s="8">
        <v>6.6</v>
      </c>
      <c r="E469" s="8">
        <v>19.7</v>
      </c>
      <c r="F469" s="8">
        <v>33.799999999999997</v>
      </c>
      <c r="G469" s="8">
        <v>24.7</v>
      </c>
      <c r="H469" s="8">
        <v>26.1</v>
      </c>
    </row>
    <row r="470" spans="1:8" ht="20" x14ac:dyDescent="0.2">
      <c r="A470" s="9">
        <v>469</v>
      </c>
      <c r="B470" s="7" t="s">
        <v>517</v>
      </c>
      <c r="C470" s="8">
        <v>31</v>
      </c>
      <c r="D470" s="8">
        <v>5.9</v>
      </c>
      <c r="E470" s="8">
        <v>19.3</v>
      </c>
      <c r="F470" s="8">
        <v>36.5</v>
      </c>
      <c r="G470" s="8">
        <v>19.899999999999999</v>
      </c>
      <c r="H470" s="8">
        <v>39.5</v>
      </c>
    </row>
    <row r="471" spans="1:8" ht="20" x14ac:dyDescent="0.2">
      <c r="A471" s="9">
        <v>470</v>
      </c>
      <c r="B471" s="7" t="s">
        <v>518</v>
      </c>
      <c r="C471" s="8">
        <v>30.9</v>
      </c>
      <c r="D471" s="8">
        <v>10.1</v>
      </c>
      <c r="E471" s="8">
        <v>21.2</v>
      </c>
      <c r="F471" s="8">
        <v>31.5</v>
      </c>
      <c r="G471" s="8">
        <v>30.2</v>
      </c>
      <c r="H471" s="8">
        <v>58.5</v>
      </c>
    </row>
    <row r="472" spans="1:8" ht="20" x14ac:dyDescent="0.2">
      <c r="A472" s="9">
        <v>471</v>
      </c>
      <c r="B472" s="7" t="s">
        <v>519</v>
      </c>
      <c r="C472" s="8">
        <v>30.7</v>
      </c>
      <c r="D472" s="8">
        <v>9.4</v>
      </c>
      <c r="E472" s="8">
        <v>20.8</v>
      </c>
      <c r="F472" s="8">
        <v>32.1</v>
      </c>
      <c r="G472" s="8">
        <v>27.7</v>
      </c>
      <c r="H472" s="8">
        <v>68.599999999999994</v>
      </c>
    </row>
    <row r="473" spans="1:8" ht="20" x14ac:dyDescent="0.2">
      <c r="A473" s="9">
        <v>472</v>
      </c>
      <c r="B473" s="7" t="s">
        <v>520</v>
      </c>
      <c r="C473" s="8">
        <v>30.6</v>
      </c>
      <c r="D473" s="8">
        <v>10.6</v>
      </c>
      <c r="E473" s="8">
        <v>21.3</v>
      </c>
      <c r="F473" s="8">
        <v>30.1</v>
      </c>
      <c r="G473" s="8">
        <v>33.200000000000003</v>
      </c>
      <c r="H473" s="8">
        <v>52.4</v>
      </c>
    </row>
    <row r="474" spans="1:8" ht="20" x14ac:dyDescent="0.2">
      <c r="A474" s="9">
        <v>473</v>
      </c>
      <c r="B474" s="7" t="s">
        <v>521</v>
      </c>
      <c r="C474" s="8">
        <v>30.5</v>
      </c>
      <c r="D474" s="8">
        <v>10.6</v>
      </c>
      <c r="E474" s="8">
        <v>21.2</v>
      </c>
      <c r="F474" s="8">
        <v>33.5</v>
      </c>
      <c r="G474" s="8">
        <v>21.9</v>
      </c>
      <c r="H474" s="8">
        <v>114.3</v>
      </c>
    </row>
    <row r="475" spans="1:8" ht="20" x14ac:dyDescent="0.2">
      <c r="A475" s="9">
        <v>474</v>
      </c>
      <c r="B475" s="7" t="s">
        <v>522</v>
      </c>
      <c r="C475" s="8">
        <v>30.4</v>
      </c>
      <c r="D475" s="8">
        <v>9.9</v>
      </c>
      <c r="E475" s="8">
        <v>20.9</v>
      </c>
      <c r="F475" s="8">
        <v>27.3</v>
      </c>
      <c r="G475" s="8">
        <v>27.4</v>
      </c>
      <c r="H475" s="8">
        <v>38.6</v>
      </c>
    </row>
    <row r="476" spans="1:8" ht="20" x14ac:dyDescent="0.2">
      <c r="A476" s="9">
        <v>475</v>
      </c>
      <c r="B476" s="7" t="s">
        <v>523</v>
      </c>
      <c r="C476" s="8">
        <v>30.4</v>
      </c>
      <c r="D476" s="8">
        <v>9.3000000000000007</v>
      </c>
      <c r="E476" s="8">
        <v>20.6</v>
      </c>
      <c r="F476" s="8">
        <v>28.6</v>
      </c>
      <c r="G476" s="8">
        <v>35.1</v>
      </c>
      <c r="H476" s="8">
        <v>46.9</v>
      </c>
    </row>
    <row r="477" spans="1:8" ht="20" x14ac:dyDescent="0.2">
      <c r="A477" s="9">
        <v>476</v>
      </c>
      <c r="B477" s="7" t="s">
        <v>524</v>
      </c>
      <c r="C477" s="8">
        <v>30.4</v>
      </c>
      <c r="D477" s="8">
        <v>7.8</v>
      </c>
      <c r="E477" s="8">
        <v>19.899999999999999</v>
      </c>
      <c r="F477" s="8">
        <v>34.200000000000003</v>
      </c>
      <c r="G477" s="8">
        <v>21.6</v>
      </c>
      <c r="H477" s="8">
        <v>115</v>
      </c>
    </row>
    <row r="478" spans="1:8" ht="20" x14ac:dyDescent="0.2">
      <c r="A478" s="9">
        <v>477</v>
      </c>
      <c r="B478" s="7" t="s">
        <v>525</v>
      </c>
      <c r="C478" s="8">
        <v>30.3</v>
      </c>
      <c r="D478" s="8">
        <v>9.3000000000000007</v>
      </c>
      <c r="E478" s="8">
        <v>20.5</v>
      </c>
      <c r="F478" s="8">
        <v>34</v>
      </c>
      <c r="G478" s="8">
        <v>27.3</v>
      </c>
      <c r="H478" s="8">
        <v>52</v>
      </c>
    </row>
    <row r="479" spans="1:8" ht="20" x14ac:dyDescent="0.2">
      <c r="A479" s="9">
        <v>478</v>
      </c>
      <c r="B479" s="7" t="s">
        <v>526</v>
      </c>
      <c r="C479" s="8">
        <v>29.7</v>
      </c>
      <c r="D479" s="8">
        <v>10</v>
      </c>
      <c r="E479" s="8">
        <v>20.6</v>
      </c>
      <c r="F479" s="8">
        <v>30</v>
      </c>
      <c r="G479" s="8">
        <v>30</v>
      </c>
      <c r="H479" s="8">
        <v>57.5</v>
      </c>
    </row>
    <row r="480" spans="1:8" ht="20" x14ac:dyDescent="0.2">
      <c r="A480" s="9">
        <v>479</v>
      </c>
      <c r="B480" s="7" t="s">
        <v>527</v>
      </c>
      <c r="C480" s="8">
        <v>29.7</v>
      </c>
      <c r="D480" s="8">
        <v>11.3</v>
      </c>
      <c r="E480" s="8">
        <v>21.1</v>
      </c>
      <c r="F480" s="8">
        <v>37.299999999999997</v>
      </c>
      <c r="G480" s="8">
        <v>17.3</v>
      </c>
      <c r="H480" s="8">
        <v>44.1</v>
      </c>
    </row>
    <row r="481" spans="1:8" ht="20" x14ac:dyDescent="0.2">
      <c r="A481" s="9">
        <v>480</v>
      </c>
      <c r="B481" s="7" t="s">
        <v>528</v>
      </c>
      <c r="C481" s="8">
        <v>29.6</v>
      </c>
      <c r="D481" s="8">
        <v>8.1</v>
      </c>
      <c r="E481" s="8">
        <v>19.600000000000001</v>
      </c>
      <c r="F481" s="8">
        <v>36.799999999999997</v>
      </c>
      <c r="G481" s="8">
        <v>20</v>
      </c>
      <c r="H481" s="8">
        <v>104.9</v>
      </c>
    </row>
    <row r="482" spans="1:8" ht="20" x14ac:dyDescent="0.2">
      <c r="A482" s="9">
        <v>481</v>
      </c>
      <c r="B482" s="7" t="s">
        <v>529</v>
      </c>
      <c r="C482" s="8">
        <v>29.3</v>
      </c>
      <c r="D482" s="8">
        <v>12.3</v>
      </c>
      <c r="E482" s="8">
        <v>21.4</v>
      </c>
      <c r="F482" s="8">
        <v>31.7</v>
      </c>
      <c r="G482" s="8">
        <v>26.3</v>
      </c>
      <c r="H482" s="8">
        <v>54.3</v>
      </c>
    </row>
    <row r="483" spans="1:8" ht="20" x14ac:dyDescent="0.2">
      <c r="A483" s="9">
        <v>482</v>
      </c>
      <c r="B483" s="7" t="s">
        <v>530</v>
      </c>
      <c r="C483" s="8">
        <v>29.2</v>
      </c>
      <c r="D483" s="8">
        <v>7.9</v>
      </c>
      <c r="E483" s="8">
        <v>19.3</v>
      </c>
      <c r="F483" s="8">
        <v>30.7</v>
      </c>
      <c r="G483" s="8">
        <v>25.7</v>
      </c>
      <c r="H483" s="8">
        <v>68.599999999999994</v>
      </c>
    </row>
    <row r="484" spans="1:8" ht="20" x14ac:dyDescent="0.2">
      <c r="A484" s="9">
        <v>483</v>
      </c>
      <c r="B484" s="7" t="s">
        <v>531</v>
      </c>
      <c r="C484" s="8">
        <v>28.8</v>
      </c>
      <c r="D484" s="8">
        <v>12</v>
      </c>
      <c r="E484" s="8">
        <v>21</v>
      </c>
      <c r="F484" s="8">
        <v>28.9</v>
      </c>
      <c r="G484" s="8">
        <v>26.7</v>
      </c>
      <c r="H484" s="8">
        <v>41.3</v>
      </c>
    </row>
    <row r="485" spans="1:8" ht="20" x14ac:dyDescent="0.2">
      <c r="A485" s="9">
        <v>484</v>
      </c>
      <c r="B485" s="7" t="s">
        <v>532</v>
      </c>
      <c r="C485" s="8">
        <v>28.7</v>
      </c>
      <c r="D485" s="8">
        <v>6.4</v>
      </c>
      <c r="E485" s="8">
        <v>18.3</v>
      </c>
      <c r="F485" s="8">
        <v>28.8</v>
      </c>
      <c r="G485" s="8">
        <v>27.4</v>
      </c>
      <c r="H485" s="8">
        <v>48.6</v>
      </c>
    </row>
    <row r="486" spans="1:8" ht="20" x14ac:dyDescent="0.2">
      <c r="A486" s="9">
        <v>485</v>
      </c>
      <c r="B486" s="7" t="s">
        <v>533</v>
      </c>
      <c r="C486" s="8">
        <v>28.5</v>
      </c>
      <c r="D486" s="8">
        <v>9.8000000000000007</v>
      </c>
      <c r="E486" s="8">
        <v>19.8</v>
      </c>
      <c r="F486" s="8">
        <v>33.5</v>
      </c>
      <c r="G486" s="8">
        <v>18.7</v>
      </c>
      <c r="H486" s="8">
        <v>49</v>
      </c>
    </row>
    <row r="487" spans="1:8" ht="20" x14ac:dyDescent="0.2">
      <c r="A487" s="9">
        <v>486</v>
      </c>
      <c r="B487" s="7" t="s">
        <v>534</v>
      </c>
      <c r="C487" s="8">
        <v>28.4</v>
      </c>
      <c r="D487" s="8">
        <v>11.9</v>
      </c>
      <c r="E487" s="8">
        <v>20.7</v>
      </c>
      <c r="F487" s="8">
        <v>33.200000000000003</v>
      </c>
      <c r="G487" s="8">
        <v>16.8</v>
      </c>
      <c r="H487" s="8">
        <v>45.3</v>
      </c>
    </row>
    <row r="488" spans="1:8" ht="20" x14ac:dyDescent="0.2">
      <c r="A488" s="9">
        <v>487</v>
      </c>
      <c r="B488" s="7" t="s">
        <v>535</v>
      </c>
      <c r="C488" s="8">
        <v>28.3</v>
      </c>
      <c r="D488" s="8">
        <v>4.9000000000000004</v>
      </c>
      <c r="E488" s="8">
        <v>17.399999999999999</v>
      </c>
      <c r="F488" s="8">
        <v>34.4</v>
      </c>
      <c r="G488" s="8">
        <v>18</v>
      </c>
      <c r="H488" s="8">
        <v>36.799999999999997</v>
      </c>
    </row>
    <row r="489" spans="1:8" ht="20" x14ac:dyDescent="0.2">
      <c r="A489" s="9">
        <v>488</v>
      </c>
      <c r="B489" s="7" t="s">
        <v>536</v>
      </c>
      <c r="C489" s="8">
        <v>28.2</v>
      </c>
      <c r="D489" s="8">
        <v>8.6999999999999993</v>
      </c>
      <c r="E489" s="8">
        <v>19.100000000000001</v>
      </c>
      <c r="F489" s="8">
        <v>34.6</v>
      </c>
      <c r="G489" s="8">
        <v>21</v>
      </c>
      <c r="H489" s="8">
        <v>111.4</v>
      </c>
    </row>
    <row r="490" spans="1:8" ht="20" x14ac:dyDescent="0.2">
      <c r="A490" s="9">
        <v>489</v>
      </c>
      <c r="B490" s="7" t="s">
        <v>537</v>
      </c>
      <c r="C490" s="8">
        <v>27.9</v>
      </c>
      <c r="D490" s="8">
        <v>10.1</v>
      </c>
      <c r="E490" s="8">
        <v>19.7</v>
      </c>
      <c r="F490" s="8">
        <v>36.4</v>
      </c>
      <c r="G490" s="8">
        <v>20.3</v>
      </c>
      <c r="H490" s="8">
        <v>40.6</v>
      </c>
    </row>
    <row r="491" spans="1:8" ht="20" x14ac:dyDescent="0.2">
      <c r="A491" s="9">
        <v>490</v>
      </c>
      <c r="B491" s="7" t="s">
        <v>538</v>
      </c>
      <c r="C491" s="8">
        <v>27.7</v>
      </c>
      <c r="D491" s="8">
        <v>7.5</v>
      </c>
      <c r="E491" s="8">
        <v>18.3</v>
      </c>
      <c r="F491" s="8">
        <v>34.6</v>
      </c>
      <c r="G491" s="8">
        <v>20.3</v>
      </c>
      <c r="H491" s="8">
        <v>109.6</v>
      </c>
    </row>
    <row r="492" spans="1:8" ht="20" x14ac:dyDescent="0.2">
      <c r="A492" s="9">
        <v>491</v>
      </c>
      <c r="B492" s="7" t="s">
        <v>539</v>
      </c>
      <c r="C492" s="8">
        <v>27.4</v>
      </c>
      <c r="D492" s="8">
        <v>11.9</v>
      </c>
      <c r="E492" s="8">
        <v>20.2</v>
      </c>
      <c r="F492" s="8">
        <v>26.6</v>
      </c>
      <c r="G492" s="8">
        <v>21.9</v>
      </c>
      <c r="H492" s="8">
        <v>25.8</v>
      </c>
    </row>
    <row r="493" spans="1:8" ht="20" x14ac:dyDescent="0.2">
      <c r="A493" s="9">
        <v>492</v>
      </c>
      <c r="B493" s="7" t="s">
        <v>540</v>
      </c>
      <c r="C493" s="8">
        <v>27.2</v>
      </c>
      <c r="D493" s="8">
        <v>11</v>
      </c>
      <c r="E493" s="8">
        <v>19.600000000000001</v>
      </c>
      <c r="F493" s="8">
        <v>35.5</v>
      </c>
      <c r="G493" s="8">
        <v>14.1</v>
      </c>
      <c r="H493" s="8">
        <v>29.5</v>
      </c>
    </row>
    <row r="494" spans="1:8" ht="20" x14ac:dyDescent="0.2">
      <c r="A494" s="9">
        <v>493</v>
      </c>
      <c r="B494" s="7" t="s">
        <v>541</v>
      </c>
      <c r="C494" s="8">
        <v>26.6</v>
      </c>
      <c r="D494" s="8">
        <v>15.7</v>
      </c>
      <c r="E494" s="8">
        <v>21.5</v>
      </c>
      <c r="F494" s="8">
        <v>24.9</v>
      </c>
      <c r="G494" s="8">
        <v>23.6</v>
      </c>
      <c r="H494" s="8">
        <v>27.6</v>
      </c>
    </row>
    <row r="495" spans="1:8" ht="20" x14ac:dyDescent="0.2">
      <c r="A495" s="9">
        <v>494</v>
      </c>
      <c r="B495" s="7" t="s">
        <v>542</v>
      </c>
      <c r="C495" s="8">
        <v>26.3</v>
      </c>
      <c r="D495" s="8">
        <v>7.9</v>
      </c>
      <c r="E495" s="8">
        <v>17.8</v>
      </c>
      <c r="F495" s="8">
        <v>30.2</v>
      </c>
      <c r="G495" s="8">
        <v>18</v>
      </c>
      <c r="H495" s="8">
        <v>108.9</v>
      </c>
    </row>
    <row r="496" spans="1:8" ht="20" x14ac:dyDescent="0.2">
      <c r="A496" s="9">
        <v>495</v>
      </c>
      <c r="B496" s="7" t="s">
        <v>543</v>
      </c>
      <c r="C496" s="8">
        <v>26.3</v>
      </c>
      <c r="D496" s="8">
        <v>10.3</v>
      </c>
      <c r="E496" s="8">
        <v>18.8</v>
      </c>
      <c r="F496" s="8">
        <v>31.7</v>
      </c>
      <c r="G496" s="8">
        <v>16.100000000000001</v>
      </c>
      <c r="H496" s="8">
        <v>34.200000000000003</v>
      </c>
    </row>
    <row r="497" spans="1:8" ht="20" x14ac:dyDescent="0.2">
      <c r="A497" s="9">
        <v>496</v>
      </c>
      <c r="B497" s="7" t="s">
        <v>544</v>
      </c>
      <c r="C497" s="8">
        <v>26.2</v>
      </c>
      <c r="D497" s="8">
        <v>10.9</v>
      </c>
      <c r="E497" s="8">
        <v>19.100000000000001</v>
      </c>
      <c r="F497" s="8">
        <v>27.9</v>
      </c>
      <c r="G497" s="8">
        <v>23.9</v>
      </c>
      <c r="H497" s="8">
        <v>19.3</v>
      </c>
    </row>
    <row r="498" spans="1:8" ht="20" x14ac:dyDescent="0.2">
      <c r="A498" s="9">
        <v>497</v>
      </c>
      <c r="B498" s="7" t="s">
        <v>545</v>
      </c>
      <c r="C498" s="8">
        <v>26.1</v>
      </c>
      <c r="D498" s="8">
        <v>4.9000000000000004</v>
      </c>
      <c r="E498" s="8">
        <v>16.3</v>
      </c>
      <c r="F498" s="8">
        <v>27</v>
      </c>
      <c r="G498" s="8">
        <v>23.9</v>
      </c>
      <c r="H498" s="8">
        <v>56.4</v>
      </c>
    </row>
    <row r="499" spans="1:8" ht="20" x14ac:dyDescent="0.2">
      <c r="A499" s="9">
        <v>498</v>
      </c>
      <c r="B499" s="7" t="s">
        <v>546</v>
      </c>
      <c r="C499" s="8">
        <v>25.8</v>
      </c>
      <c r="D499" s="8">
        <v>17.7</v>
      </c>
      <c r="E499" s="8">
        <v>22</v>
      </c>
      <c r="F499" s="8">
        <v>24.8</v>
      </c>
      <c r="G499" s="8">
        <v>24.1</v>
      </c>
      <c r="H499" s="8">
        <v>69</v>
      </c>
    </row>
    <row r="500" spans="1:8" ht="20" x14ac:dyDescent="0.2">
      <c r="A500" s="9">
        <v>499</v>
      </c>
      <c r="B500" s="7" t="s">
        <v>547</v>
      </c>
      <c r="C500" s="8">
        <v>25.7</v>
      </c>
      <c r="D500" s="8">
        <v>3.8</v>
      </c>
      <c r="E500" s="8">
        <v>15.5</v>
      </c>
      <c r="F500" s="8">
        <v>30.3</v>
      </c>
      <c r="G500" s="8">
        <v>20.2</v>
      </c>
      <c r="H500" s="8">
        <v>39.700000000000003</v>
      </c>
    </row>
    <row r="501" spans="1:8" ht="20" x14ac:dyDescent="0.2">
      <c r="A501" s="9">
        <v>500</v>
      </c>
      <c r="B501" s="7" t="s">
        <v>548</v>
      </c>
      <c r="C501" s="8">
        <v>24.2</v>
      </c>
      <c r="D501" s="8">
        <v>5.2</v>
      </c>
      <c r="E501" s="8">
        <v>15.4</v>
      </c>
      <c r="F501" s="8">
        <v>33.200000000000003</v>
      </c>
      <c r="G501" s="8">
        <v>13.6</v>
      </c>
      <c r="H501" s="8">
        <v>35.299999999999997</v>
      </c>
    </row>
    <row r="502" spans="1:8" ht="20" x14ac:dyDescent="0.2">
      <c r="A502" s="9">
        <v>501</v>
      </c>
      <c r="B502" s="7" t="s">
        <v>549</v>
      </c>
      <c r="C502" s="8">
        <v>24.1</v>
      </c>
      <c r="D502" s="8">
        <v>8.3000000000000007</v>
      </c>
      <c r="E502" s="8">
        <v>16.8</v>
      </c>
      <c r="F502" s="8">
        <v>26</v>
      </c>
      <c r="G502" s="8">
        <v>22.8</v>
      </c>
      <c r="H502" s="8">
        <v>95.5</v>
      </c>
    </row>
    <row r="503" spans="1:8" ht="20" x14ac:dyDescent="0.2">
      <c r="A503" s="9">
        <v>502</v>
      </c>
      <c r="B503" s="7" t="s">
        <v>550</v>
      </c>
      <c r="C503" s="8">
        <v>23.4</v>
      </c>
      <c r="D503" s="8">
        <v>5.4</v>
      </c>
      <c r="E503" s="8">
        <v>15</v>
      </c>
      <c r="F503" s="8">
        <v>19.399999999999999</v>
      </c>
      <c r="G503" s="8">
        <v>20.8</v>
      </c>
      <c r="H503" s="8">
        <v>39.799999999999997</v>
      </c>
    </row>
    <row r="504" spans="1:8" ht="20" x14ac:dyDescent="0.2">
      <c r="A504" s="9">
        <v>503</v>
      </c>
      <c r="B504" s="7" t="s">
        <v>551</v>
      </c>
      <c r="C504" s="8">
        <v>23.3</v>
      </c>
      <c r="D504" s="8">
        <v>2.8</v>
      </c>
      <c r="E504" s="8">
        <v>13.7</v>
      </c>
      <c r="F504" s="8">
        <v>25.7</v>
      </c>
      <c r="G504" s="8">
        <v>17.8</v>
      </c>
      <c r="H504" s="8">
        <v>37.9</v>
      </c>
    </row>
    <row r="505" spans="1:8" ht="20" x14ac:dyDescent="0.2">
      <c r="A505" s="9">
        <v>504</v>
      </c>
      <c r="B505" s="7" t="s">
        <v>552</v>
      </c>
      <c r="C505" s="8">
        <v>23</v>
      </c>
      <c r="D505" s="8">
        <v>4</v>
      </c>
      <c r="E505" s="8">
        <v>14.2</v>
      </c>
      <c r="F505" s="8">
        <v>23.8</v>
      </c>
      <c r="G505" s="8">
        <v>17.8</v>
      </c>
      <c r="H505" s="8">
        <v>32.700000000000003</v>
      </c>
    </row>
    <row r="506" spans="1:8" ht="20" x14ac:dyDescent="0.2">
      <c r="A506" s="9">
        <v>505</v>
      </c>
      <c r="B506" s="7" t="s">
        <v>553</v>
      </c>
      <c r="C506" s="8">
        <v>22.8</v>
      </c>
      <c r="D506" s="8">
        <v>9.8000000000000007</v>
      </c>
      <c r="E506" s="8">
        <v>16.8</v>
      </c>
      <c r="F506" s="8">
        <v>23</v>
      </c>
      <c r="G506" s="8">
        <v>16.3</v>
      </c>
      <c r="H506" s="8">
        <v>24.5</v>
      </c>
    </row>
    <row r="507" spans="1:8" ht="20" x14ac:dyDescent="0.2">
      <c r="A507" s="9">
        <v>506</v>
      </c>
      <c r="B507" s="7" t="s">
        <v>554</v>
      </c>
      <c r="C507" s="8">
        <v>22.4</v>
      </c>
      <c r="D507" s="8">
        <v>7.3</v>
      </c>
      <c r="E507" s="8">
        <v>15.4</v>
      </c>
      <c r="F507" s="8">
        <v>22.8</v>
      </c>
      <c r="G507" s="8">
        <v>22.1</v>
      </c>
      <c r="H507" s="8">
        <v>68.7</v>
      </c>
    </row>
    <row r="508" spans="1:8" ht="20" x14ac:dyDescent="0.2">
      <c r="A508" s="9">
        <v>507</v>
      </c>
      <c r="B508" s="7" t="s">
        <v>555</v>
      </c>
      <c r="C508" s="8">
        <v>22.3</v>
      </c>
      <c r="D508" s="8">
        <v>6.6</v>
      </c>
      <c r="E508" s="8">
        <v>15</v>
      </c>
      <c r="F508" s="8">
        <v>24.7</v>
      </c>
      <c r="G508" s="8">
        <v>21.5</v>
      </c>
      <c r="H508" s="8">
        <v>156.6</v>
      </c>
    </row>
    <row r="509" spans="1:8" ht="20" x14ac:dyDescent="0.2">
      <c r="A509" s="9">
        <v>508</v>
      </c>
      <c r="B509" s="7" t="s">
        <v>556</v>
      </c>
      <c r="C509" s="8">
        <v>21.7</v>
      </c>
      <c r="D509" s="8">
        <v>5.2</v>
      </c>
      <c r="E509" s="8">
        <v>14</v>
      </c>
      <c r="F509" s="8">
        <v>21.9</v>
      </c>
      <c r="G509" s="8">
        <v>22.6</v>
      </c>
      <c r="H509" s="8">
        <v>24</v>
      </c>
    </row>
    <row r="510" spans="1:8" ht="20" x14ac:dyDescent="0.2">
      <c r="A510" s="9">
        <v>509</v>
      </c>
      <c r="B510" s="7" t="s">
        <v>557</v>
      </c>
      <c r="C510" s="8">
        <v>21.3</v>
      </c>
      <c r="D510" s="8">
        <v>3.4</v>
      </c>
      <c r="E510" s="8">
        <v>13</v>
      </c>
      <c r="F510" s="8">
        <v>19.8</v>
      </c>
      <c r="G510" s="8">
        <v>19.100000000000001</v>
      </c>
      <c r="H510" s="8">
        <v>27</v>
      </c>
    </row>
    <row r="511" spans="1:8" ht="20" x14ac:dyDescent="0.2">
      <c r="A511" s="9">
        <v>510</v>
      </c>
      <c r="B511" s="7" t="s">
        <v>558</v>
      </c>
      <c r="C511" s="8">
        <v>21.3</v>
      </c>
      <c r="D511" s="8">
        <v>8.4</v>
      </c>
      <c r="E511" s="8">
        <v>15.3</v>
      </c>
      <c r="F511" s="8">
        <v>25</v>
      </c>
      <c r="G511" s="8">
        <v>18.8</v>
      </c>
      <c r="H511" s="8">
        <v>109.2</v>
      </c>
    </row>
    <row r="512" spans="1:8" ht="20" x14ac:dyDescent="0.2">
      <c r="A512" s="9">
        <v>511</v>
      </c>
      <c r="B512" s="7" t="s">
        <v>559</v>
      </c>
      <c r="C512" s="8">
        <v>21</v>
      </c>
      <c r="D512" s="8">
        <v>5.6</v>
      </c>
      <c r="E512" s="8">
        <v>13.8</v>
      </c>
      <c r="F512" s="8">
        <v>23.2</v>
      </c>
      <c r="G512" s="8">
        <v>18.600000000000001</v>
      </c>
      <c r="H512" s="8">
        <v>183.8</v>
      </c>
    </row>
    <row r="513" spans="1:8" ht="20" x14ac:dyDescent="0.2">
      <c r="A513" s="9">
        <v>512</v>
      </c>
      <c r="B513" s="7" t="s">
        <v>560</v>
      </c>
      <c r="C513" s="8">
        <v>20.9</v>
      </c>
      <c r="D513" s="8">
        <v>5.3</v>
      </c>
      <c r="E513" s="8">
        <v>13.7</v>
      </c>
      <c r="F513" s="8">
        <v>23.4</v>
      </c>
      <c r="G513" s="8">
        <v>16.899999999999999</v>
      </c>
      <c r="H513" s="8">
        <v>114.8</v>
      </c>
    </row>
    <row r="514" spans="1:8" ht="20" x14ac:dyDescent="0.2">
      <c r="A514" s="9">
        <v>513</v>
      </c>
      <c r="B514" s="7" t="s">
        <v>561</v>
      </c>
      <c r="C514" s="8">
        <v>20.8</v>
      </c>
      <c r="D514" s="8">
        <v>4.0999999999999996</v>
      </c>
      <c r="E514" s="8">
        <v>13</v>
      </c>
      <c r="F514" s="8">
        <v>21.6</v>
      </c>
      <c r="G514" s="8">
        <v>17.5</v>
      </c>
      <c r="H514" s="8">
        <v>25.9</v>
      </c>
    </row>
    <row r="515" spans="1:8" ht="20" x14ac:dyDescent="0.2">
      <c r="A515" s="9">
        <v>514</v>
      </c>
      <c r="B515" s="7" t="s">
        <v>562</v>
      </c>
      <c r="C515" s="8">
        <v>20.8</v>
      </c>
      <c r="D515" s="8">
        <v>4</v>
      </c>
      <c r="E515" s="8">
        <v>13</v>
      </c>
      <c r="F515" s="8">
        <v>23.5</v>
      </c>
      <c r="G515" s="8">
        <v>20.3</v>
      </c>
      <c r="H515" s="8">
        <v>71</v>
      </c>
    </row>
    <row r="516" spans="1:8" ht="20" x14ac:dyDescent="0.2">
      <c r="A516" s="9">
        <v>515</v>
      </c>
      <c r="B516" s="7" t="s">
        <v>563</v>
      </c>
      <c r="C516" s="8">
        <v>20.7</v>
      </c>
      <c r="D516" s="8">
        <v>3.3</v>
      </c>
      <c r="E516" s="8">
        <v>12.6</v>
      </c>
      <c r="F516" s="8">
        <v>18.399999999999999</v>
      </c>
      <c r="G516" s="8">
        <v>20.399999999999999</v>
      </c>
      <c r="H516" s="8">
        <v>28.6</v>
      </c>
    </row>
    <row r="517" spans="1:8" ht="20" x14ac:dyDescent="0.2">
      <c r="A517" s="9">
        <v>516</v>
      </c>
      <c r="B517" s="7" t="s">
        <v>564</v>
      </c>
      <c r="C517" s="8">
        <v>20.5</v>
      </c>
      <c r="D517" s="8">
        <v>7.7</v>
      </c>
      <c r="E517" s="8">
        <v>14.5</v>
      </c>
      <c r="F517" s="8">
        <v>24.7</v>
      </c>
      <c r="G517" s="8">
        <v>16.3</v>
      </c>
      <c r="H517" s="8">
        <v>91.5</v>
      </c>
    </row>
    <row r="518" spans="1:8" ht="20" x14ac:dyDescent="0.2">
      <c r="A518" s="9">
        <v>517</v>
      </c>
      <c r="B518" s="7" t="s">
        <v>565</v>
      </c>
      <c r="C518" s="8">
        <v>20.399999999999999</v>
      </c>
      <c r="D518" s="8">
        <v>6.8</v>
      </c>
      <c r="E518" s="8">
        <v>14.1</v>
      </c>
      <c r="F518" s="8">
        <v>22.4</v>
      </c>
      <c r="G518" s="8">
        <v>18.899999999999999</v>
      </c>
      <c r="H518" s="8">
        <v>49.8</v>
      </c>
    </row>
    <row r="519" spans="1:8" ht="20" x14ac:dyDescent="0.2">
      <c r="A519" s="9">
        <v>518</v>
      </c>
      <c r="B519" s="7" t="s">
        <v>566</v>
      </c>
      <c r="C519" s="8">
        <v>20</v>
      </c>
      <c r="D519" s="8">
        <v>4.3</v>
      </c>
      <c r="E519" s="8">
        <v>12.7</v>
      </c>
      <c r="F519" s="8">
        <v>24.4</v>
      </c>
      <c r="G519" s="8">
        <v>14.7</v>
      </c>
      <c r="H519" s="8">
        <v>115.4</v>
      </c>
    </row>
    <row r="520" spans="1:8" ht="20" x14ac:dyDescent="0.2">
      <c r="A520" s="9">
        <v>519</v>
      </c>
      <c r="B520" s="7" t="s">
        <v>567</v>
      </c>
      <c r="C520" s="8">
        <v>20</v>
      </c>
      <c r="D520" s="8">
        <v>4.5</v>
      </c>
      <c r="E520" s="8">
        <v>12.8</v>
      </c>
      <c r="F520" s="8">
        <v>21.8</v>
      </c>
      <c r="G520" s="8">
        <v>16.5</v>
      </c>
      <c r="H520" s="8">
        <v>71.5</v>
      </c>
    </row>
    <row r="521" spans="1:8" ht="20" x14ac:dyDescent="0.2">
      <c r="A521" s="9">
        <v>520</v>
      </c>
      <c r="B521" s="7" t="s">
        <v>568</v>
      </c>
      <c r="C521" s="8">
        <v>19.8</v>
      </c>
      <c r="D521" s="8">
        <v>3.4</v>
      </c>
      <c r="E521" s="8">
        <v>12.2</v>
      </c>
      <c r="F521" s="8">
        <v>22.6</v>
      </c>
      <c r="G521" s="8">
        <v>14.6</v>
      </c>
      <c r="H521" s="8">
        <v>78.400000000000006</v>
      </c>
    </row>
    <row r="522" spans="1:8" ht="20" x14ac:dyDescent="0.2">
      <c r="A522" s="9">
        <v>521</v>
      </c>
      <c r="B522" s="7" t="s">
        <v>569</v>
      </c>
      <c r="C522" s="8">
        <v>19.600000000000001</v>
      </c>
      <c r="D522" s="8">
        <v>2.8</v>
      </c>
      <c r="E522" s="8">
        <v>11.8</v>
      </c>
      <c r="F522" s="8">
        <v>20.6</v>
      </c>
      <c r="G522" s="8">
        <v>17.100000000000001</v>
      </c>
      <c r="H522" s="8">
        <v>21</v>
      </c>
    </row>
    <row r="523" spans="1:8" ht="20" x14ac:dyDescent="0.2">
      <c r="A523" s="9">
        <v>522</v>
      </c>
      <c r="B523" s="7" t="s">
        <v>570</v>
      </c>
      <c r="C523" s="8">
        <v>19.100000000000001</v>
      </c>
      <c r="D523" s="8">
        <v>3.8</v>
      </c>
      <c r="E523" s="8">
        <v>12</v>
      </c>
      <c r="F523" s="8">
        <v>22.5</v>
      </c>
      <c r="G523" s="8">
        <v>14.8</v>
      </c>
      <c r="H523" s="8">
        <v>74.400000000000006</v>
      </c>
    </row>
    <row r="524" spans="1:8" ht="20" x14ac:dyDescent="0.2">
      <c r="A524" s="9">
        <v>523</v>
      </c>
      <c r="B524" s="7" t="s">
        <v>571</v>
      </c>
      <c r="C524" s="8">
        <v>19</v>
      </c>
      <c r="D524" s="8">
        <v>3.4</v>
      </c>
      <c r="E524" s="8">
        <v>11.7</v>
      </c>
      <c r="F524" s="8">
        <v>18.7</v>
      </c>
      <c r="G524" s="8">
        <v>16.5</v>
      </c>
      <c r="H524" s="8">
        <v>21.3</v>
      </c>
    </row>
    <row r="525" spans="1:8" ht="20" x14ac:dyDescent="0.2">
      <c r="A525" s="9">
        <v>524</v>
      </c>
      <c r="B525" s="7" t="s">
        <v>572</v>
      </c>
      <c r="C525" s="8">
        <v>18.8</v>
      </c>
      <c r="D525" s="8">
        <v>2.2999999999999998</v>
      </c>
      <c r="E525" s="8">
        <v>11.2</v>
      </c>
      <c r="F525" s="8">
        <v>20.100000000000001</v>
      </c>
      <c r="G525" s="8">
        <v>15.5</v>
      </c>
      <c r="H525" s="8">
        <v>58.3</v>
      </c>
    </row>
    <row r="526" spans="1:8" ht="20" x14ac:dyDescent="0.2">
      <c r="A526" s="9">
        <v>525</v>
      </c>
      <c r="B526" s="7" t="s">
        <v>573</v>
      </c>
      <c r="C526" s="8">
        <v>18.8</v>
      </c>
      <c r="D526" s="8">
        <v>3.6</v>
      </c>
      <c r="E526" s="8">
        <v>11.7</v>
      </c>
      <c r="F526" s="8">
        <v>21.7</v>
      </c>
      <c r="G526" s="8">
        <v>14.3</v>
      </c>
      <c r="H526" s="8">
        <v>61.6</v>
      </c>
    </row>
    <row r="527" spans="1:8" ht="20" x14ac:dyDescent="0.2">
      <c r="A527" s="9">
        <v>526</v>
      </c>
      <c r="B527" s="7" t="s">
        <v>574</v>
      </c>
      <c r="C527" s="8">
        <v>18.8</v>
      </c>
      <c r="D527" s="8">
        <v>4.2</v>
      </c>
      <c r="E527" s="8">
        <v>12</v>
      </c>
      <c r="F527" s="8">
        <v>23</v>
      </c>
      <c r="G527" s="8">
        <v>12.6</v>
      </c>
      <c r="H527" s="8">
        <v>80.400000000000006</v>
      </c>
    </row>
    <row r="528" spans="1:8" ht="20" x14ac:dyDescent="0.2">
      <c r="A528" s="9">
        <v>527</v>
      </c>
      <c r="B528" s="7" t="s">
        <v>575</v>
      </c>
      <c r="C528" s="8">
        <v>18.399999999999999</v>
      </c>
      <c r="D528" s="8">
        <v>3.8</v>
      </c>
      <c r="E528" s="8">
        <v>11.6</v>
      </c>
      <c r="F528" s="8">
        <v>20.7</v>
      </c>
      <c r="G528" s="8">
        <v>14.7</v>
      </c>
      <c r="H528" s="8">
        <v>77.599999999999994</v>
      </c>
    </row>
    <row r="529" spans="1:8" ht="20" x14ac:dyDescent="0.2">
      <c r="A529" s="9">
        <v>528</v>
      </c>
      <c r="B529" s="7" t="s">
        <v>576</v>
      </c>
      <c r="C529" s="8">
        <v>18.2</v>
      </c>
      <c r="D529" s="8">
        <v>3.1</v>
      </c>
      <c r="E529" s="8">
        <v>11.2</v>
      </c>
      <c r="F529" s="8">
        <v>22.6</v>
      </c>
      <c r="G529" s="8">
        <v>15.2</v>
      </c>
      <c r="H529" s="8">
        <v>66.5</v>
      </c>
    </row>
    <row r="530" spans="1:8" ht="20" x14ac:dyDescent="0.2">
      <c r="A530" s="9">
        <v>529</v>
      </c>
      <c r="B530" s="7" t="s">
        <v>577</v>
      </c>
      <c r="C530" s="8">
        <v>18.2</v>
      </c>
      <c r="D530" s="8">
        <v>6.2</v>
      </c>
      <c r="E530" s="8">
        <v>12.6</v>
      </c>
      <c r="F530" s="8">
        <v>21.5</v>
      </c>
      <c r="G530" s="8">
        <v>16.100000000000001</v>
      </c>
      <c r="H530" s="8">
        <v>51.8</v>
      </c>
    </row>
    <row r="531" spans="1:8" ht="20" x14ac:dyDescent="0.2">
      <c r="A531" s="9">
        <v>530</v>
      </c>
      <c r="B531" s="7" t="s">
        <v>578</v>
      </c>
      <c r="C531" s="8">
        <v>18</v>
      </c>
      <c r="D531" s="8">
        <v>3.9</v>
      </c>
      <c r="E531" s="8">
        <v>11.4</v>
      </c>
      <c r="F531" s="8">
        <v>20.3</v>
      </c>
      <c r="G531" s="8">
        <v>13.6</v>
      </c>
      <c r="H531" s="8">
        <v>67.2</v>
      </c>
    </row>
    <row r="532" spans="1:8" ht="20" x14ac:dyDescent="0.2">
      <c r="A532" s="9">
        <v>531</v>
      </c>
      <c r="B532" s="7" t="s">
        <v>579</v>
      </c>
      <c r="C532" s="8">
        <v>17.7</v>
      </c>
      <c r="D532" s="8">
        <v>3.3</v>
      </c>
      <c r="E532" s="8">
        <v>11</v>
      </c>
      <c r="F532" s="8">
        <v>21.1</v>
      </c>
      <c r="G532" s="8">
        <v>15.8</v>
      </c>
      <c r="H532" s="8">
        <v>62.6</v>
      </c>
    </row>
    <row r="533" spans="1:8" ht="20" x14ac:dyDescent="0.2">
      <c r="A533" s="9">
        <v>532</v>
      </c>
      <c r="B533" s="7" t="s">
        <v>580</v>
      </c>
      <c r="C533" s="8">
        <v>17.399999999999999</v>
      </c>
      <c r="D533" s="8">
        <v>3.4</v>
      </c>
      <c r="E533" s="8">
        <v>10.9</v>
      </c>
      <c r="F533" s="8">
        <v>19.7</v>
      </c>
      <c r="G533" s="8">
        <v>12.7</v>
      </c>
      <c r="H533" s="8">
        <v>69.900000000000006</v>
      </c>
    </row>
    <row r="534" spans="1:8" ht="20" x14ac:dyDescent="0.2">
      <c r="A534" s="9">
        <v>533</v>
      </c>
      <c r="B534" s="7" t="s">
        <v>581</v>
      </c>
      <c r="C534" s="8">
        <v>16.899999999999999</v>
      </c>
      <c r="D534" s="8">
        <v>3.1</v>
      </c>
      <c r="E534" s="8">
        <v>10.5</v>
      </c>
      <c r="F534" s="8">
        <v>19.8</v>
      </c>
      <c r="G534" s="8">
        <v>12.7</v>
      </c>
      <c r="H534" s="8">
        <v>52</v>
      </c>
    </row>
    <row r="535" spans="1:8" ht="20" x14ac:dyDescent="0.2">
      <c r="A535" s="9">
        <v>534</v>
      </c>
      <c r="B535" s="7" t="s">
        <v>582</v>
      </c>
      <c r="C535" s="8">
        <v>16.8</v>
      </c>
      <c r="D535" s="8">
        <v>3.3</v>
      </c>
      <c r="E535" s="8">
        <v>10.5</v>
      </c>
      <c r="F535" s="8">
        <v>20.6</v>
      </c>
      <c r="G535" s="8">
        <v>13.1</v>
      </c>
      <c r="H535" s="8">
        <v>73.8</v>
      </c>
    </row>
  </sheetData>
  <hyperlinks>
    <hyperlink ref="B2" r:id="rId1" display="https://www.numbeo.com/cost-of-living/in/Zurich" xr:uid="{B0594458-57BC-EA47-84FF-AC5F7F9C1778}"/>
    <hyperlink ref="B3" r:id="rId2" display="https://www.numbeo.com/cost-of-living/in/Geneva" xr:uid="{C1C81676-7A10-1A49-ACAE-B2FBA8039277}"/>
    <hyperlink ref="B4" r:id="rId3" display="https://www.numbeo.com/cost-of-living/in/Basel" xr:uid="{547157B6-4E85-2F4D-8CB6-1CA25FBC8EEB}"/>
    <hyperlink ref="B5" r:id="rId4" display="https://www.numbeo.com/cost-of-living/in/Lugano" xr:uid="{06AEF57C-5461-BD4F-BFC3-1550ACAB93D0}"/>
    <hyperlink ref="B6" r:id="rId5" display="https://www.numbeo.com/cost-of-living/in/Lausanne" xr:uid="{B67DF32D-0222-B74F-8328-4D25BF93C1DC}"/>
    <hyperlink ref="B7" r:id="rId6" display="https://www.numbeo.com/cost-of-living/in/George-Town-Cayman-Islands" xr:uid="{3E3C9FC8-EEB3-F04C-8631-F3454F7B8098}"/>
    <hyperlink ref="B8" r:id="rId7" display="https://www.numbeo.com/cost-of-living/in/Bern" xr:uid="{529AE5D4-F4A5-FD4E-BDDE-A0B247BDB059}"/>
    <hyperlink ref="B9" r:id="rId8" display="https://www.numbeo.com/cost-of-living/in/Honolulu" xr:uid="{AF2EBC2E-CF91-7E4D-90CF-B2903A614A2B}"/>
    <hyperlink ref="B10" r:id="rId9" display="https://www.numbeo.com/cost-of-living/in/New-York" xr:uid="{E668C7F6-0A72-4742-B9A4-D8B2FB696834}"/>
    <hyperlink ref="B11" r:id="rId10" display="https://www.numbeo.com/cost-of-living/in/Reykjavik" xr:uid="{4B242C3E-DD8A-C041-BA6D-BBCF4C8B81FA}"/>
    <hyperlink ref="B12" r:id="rId11" display="https://www.numbeo.com/cost-of-living/in/San-Francisco" xr:uid="{0B3280C9-7605-3342-9367-E495F76AFE04}"/>
    <hyperlink ref="B13" r:id="rId12" display="https://www.numbeo.com/cost-of-living/in/Oslo" xr:uid="{3A575B26-75A7-3A4F-89A8-8C349FAE65BB}"/>
    <hyperlink ref="B14" r:id="rId13" display="https://www.numbeo.com/cost-of-living/in/Tel-Aviv-Yafo" xr:uid="{0B92DA92-4AE0-E445-8F19-0C71241ED12A}"/>
    <hyperlink ref="B15" r:id="rId14" display="https://www.numbeo.com/cost-of-living/in/Trondheim" xr:uid="{7FB0B7D6-7BAC-984F-9D5E-03699C1E6EB9}"/>
    <hyperlink ref="B16" r:id="rId15" display="https://www.numbeo.com/cost-of-living/in/Bergen" xr:uid="{4A9E52DD-7C0C-0C48-93F1-363F57C30264}"/>
    <hyperlink ref="B17" r:id="rId16" display="https://www.numbeo.com/cost-of-living/in/London" xr:uid="{0880DBF8-82CC-884F-BC1D-33C88EFA3E1C}"/>
    <hyperlink ref="B18" r:id="rId17" display="https://www.numbeo.com/cost-of-living/in/Stavanger" xr:uid="{5858A63F-88F8-224D-812F-AD6D8A2D39B1}"/>
    <hyperlink ref="B19" r:id="rId18" display="https://www.numbeo.com/cost-of-living/in/Seattle" xr:uid="{F07341DA-01BB-2A49-A769-0F91AA272A69}"/>
    <hyperlink ref="B20" r:id="rId19" display="https://www.numbeo.com/cost-of-living/in/San-Jose" xr:uid="{8E7B64BF-F6DA-4D44-A1DB-FD805F404C58}"/>
    <hyperlink ref="B21" r:id="rId20" display="https://www.numbeo.com/cost-of-living/in/Washington" xr:uid="{18B9DF95-78D7-8042-BA68-28D927117223}"/>
    <hyperlink ref="B22" r:id="rId21" display="https://www.numbeo.com/cost-of-living/in/Singapore" xr:uid="{81B07246-4132-8D4E-8E1F-1CBDBE9D03BB}"/>
    <hyperlink ref="B23" r:id="rId22" display="https://www.numbeo.com/cost-of-living/in/Charleston" xr:uid="{516E885A-FE39-C047-892B-F69A80D0FB5E}"/>
    <hyperlink ref="B24" r:id="rId23" display="https://www.numbeo.com/cost-of-living/in/Ramat-Gan" xr:uid="{2FB135CC-500F-624E-A4AF-95F23FC38EB2}"/>
    <hyperlink ref="B25" r:id="rId24" display="https://www.numbeo.com/cost-of-living/in/Boston" xr:uid="{F9EB50D8-6438-9847-8036-EB8C5EDF986F}"/>
    <hyperlink ref="B26" r:id="rId25" display="https://www.numbeo.com/cost-of-living/in/Anchorage" xr:uid="{F1F85E78-51AB-3F48-820A-6D2AF8E45716}"/>
    <hyperlink ref="B27" r:id="rId26" display="https://www.numbeo.com/cost-of-living/in/Jerusalem" xr:uid="{393154AC-6878-0748-8DB7-174BF9DC2440}"/>
    <hyperlink ref="B28" r:id="rId27" display="https://www.numbeo.com/cost-of-living/in/Copenhagen" xr:uid="{2AF06379-7F6C-8447-ADF1-73B55AD28478}"/>
    <hyperlink ref="B29" r:id="rId28" display="https://www.numbeo.com/cost-of-living/in/Oakland" xr:uid="{B244BDF0-A1ED-3A40-B960-289331BC3B62}"/>
    <hyperlink ref="B30" r:id="rId29" display="https://www.numbeo.com/cost-of-living/in/Miami" xr:uid="{FF596197-93FA-074D-BDB2-0C09AC49FFB2}"/>
    <hyperlink ref="B31" r:id="rId30" display="https://www.numbeo.com/cost-of-living/in/Los-Angeles" xr:uid="{6B019800-F108-5341-B6A4-00CFE60B1F2E}"/>
    <hyperlink ref="B32" r:id="rId31" display="https://www.numbeo.com/cost-of-living/in/San-Diego" xr:uid="{F1574EA1-4936-1E46-8BE8-0B1F81664877}"/>
    <hyperlink ref="B33" r:id="rId32" display="https://www.numbeo.com/cost-of-living/in/Haifa" xr:uid="{591401A5-A3BD-0B46-8C76-9F865089F133}"/>
    <hyperlink ref="B34" r:id="rId33" display="https://www.numbeo.com/cost-of-living/in/Amsterdam" xr:uid="{4FC8C12F-9E3D-484A-9014-E110D693B3EA}"/>
    <hyperlink ref="B35" r:id="rId34" display="https://www.numbeo.com/cost-of-living/in/Arlington" xr:uid="{B8E2E54D-D520-3D44-9DC8-4A2D871AD46C}"/>
    <hyperlink ref="B36" r:id="rId35" display="https://www.numbeo.com/cost-of-living/in/Sydney" xr:uid="{1984BF76-8E66-B643-9FB1-EA0813BACF8B}"/>
    <hyperlink ref="B37" r:id="rId36" display="https://www.numbeo.com/cost-of-living/in/Stockholm" xr:uid="{A233D154-33A7-F64D-A99F-521E371EB3C5}"/>
    <hyperlink ref="B38" r:id="rId37" display="https://www.numbeo.com/cost-of-living/in/Aarhus-Denmark" xr:uid="{6F5AEBB4-1960-9547-9173-FAACD5DE90DC}"/>
    <hyperlink ref="B39" r:id="rId38" display="https://www.numbeo.com/cost-of-living/in/Irvine" xr:uid="{3A9E0F11-7B1A-D640-8ED1-244A2FE14553}"/>
    <hyperlink ref="B40" r:id="rId39" display="https://www.numbeo.com/cost-of-living/in/Luxembourg" xr:uid="{FFC56C18-4C38-B64B-B5ED-B50250D9A368}"/>
    <hyperlink ref="B41" r:id="rId40" display="https://www.numbeo.com/cost-of-living/in/Fort-Lauderdale" xr:uid="{F247FF68-7062-144D-8DDC-9CCBAB3C6FDF}"/>
    <hyperlink ref="B42" r:id="rId41" display="https://www.numbeo.com/cost-of-living/in/Aalborg" xr:uid="{25425E19-3ECC-A34A-8DED-2F038E07A0A2}"/>
    <hyperlink ref="B43" r:id="rId42" display="https://www.numbeo.com/cost-of-living/in/Sacramento" xr:uid="{E2A23E62-5E3E-C44F-B247-0DC2D44A2271}"/>
    <hyperlink ref="B44" r:id="rId43" display="https://www.numbeo.com/cost-of-living/in/Haarlem" xr:uid="{0DE9617B-0CA5-BF46-9B50-3ED77907A174}"/>
    <hyperlink ref="B45" r:id="rId44" display="https://www.numbeo.com/cost-of-living/in/Philadelphia" xr:uid="{BA3B5663-5C99-3446-A859-73D6C70A2A53}"/>
    <hyperlink ref="B46" r:id="rId45" display="https://www.numbeo.com/cost-of-living/in/Paris" xr:uid="{DEEF3FF1-F987-3048-97FD-2A87105CAE07}"/>
    <hyperlink ref="B47" r:id="rId46" display="https://www.numbeo.com/cost-of-living/in/Petah-Tikva" xr:uid="{BE50C537-8DDF-0A4E-9FBF-F48CB18F3C29}"/>
    <hyperlink ref="B48" r:id="rId47" display="https://www.numbeo.com/cost-of-living/in/New-Orleans" xr:uid="{028FE6E3-5C07-E440-82BB-C6CDED4DBB16}"/>
    <hyperlink ref="B49" r:id="rId48" display="https://www.numbeo.com/cost-of-living/in/Jersey-City" xr:uid="{D87986B0-F480-3144-9DBA-6193F699E36A}"/>
    <hyperlink ref="B50" r:id="rId49" display="https://www.numbeo.com/cost-of-living/in/Portland" xr:uid="{1091ECF7-E0A6-9643-933D-2868A876F282}"/>
    <hyperlink ref="B51" r:id="rId50" display="https://www.numbeo.com/cost-of-living/in/Guildford" xr:uid="{DFB0F7A4-7F54-B448-B71B-7D599012CD12}"/>
    <hyperlink ref="B52" r:id="rId51" display="https://www.numbeo.com/cost-of-living/in/Beersheba" xr:uid="{C27FC994-A412-C046-8F76-9161CE917046}"/>
    <hyperlink ref="B53" r:id="rId52" display="https://www.numbeo.com/cost-of-living/in/Canberra" xr:uid="{57F547C6-2222-5A43-9325-C0DC45B6BFA2}"/>
    <hyperlink ref="B54" r:id="rId53" display="https://www.numbeo.com/cost-of-living/in/Utrecht" xr:uid="{DE9DB630-44CC-CD4D-ADEC-8569982324F1}"/>
    <hyperlink ref="B55" r:id="rId54" display="https://www.numbeo.com/cost-of-living/in/Melbourne" xr:uid="{CB664945-6FF1-FF42-AE29-D8BA10B166F1}"/>
    <hyperlink ref="B56" r:id="rId55" display="https://www.numbeo.com/cost-of-living/in/Salzburg" xr:uid="{3586F358-BF17-4248-B5E4-56D9A74A68F3}"/>
    <hyperlink ref="B57" r:id="rId56" display="https://www.numbeo.com/cost-of-living/in/Pisa" xr:uid="{B3865473-A518-2347-8895-DCDEF74B7189}"/>
    <hyperlink ref="B58" r:id="rId57" display="https://www.numbeo.com/cost-of-living/in/Munich" xr:uid="{175D2C12-F504-0F4A-9620-8BF254CEF519}"/>
    <hyperlink ref="B59" r:id="rId58" display="https://www.numbeo.com/cost-of-living/in/Reno" xr:uid="{7A151C73-86DB-D546-94AA-2EF66A73EBAB}"/>
    <hyperlink ref="B60" r:id="rId59" display="https://www.numbeo.com/cost-of-living/in/Innsbruck" xr:uid="{6DF1B415-6FD0-8F4A-B898-6F23BF85B6F6}"/>
    <hyperlink ref="B61" r:id="rId60" display="https://www.numbeo.com/cost-of-living/in/Oxford" xr:uid="{186C8977-FA60-114E-9960-D49B3F58C8AB}"/>
    <hyperlink ref="B62" r:id="rId61" display="https://www.numbeo.com/cost-of-living/in/Chicago" xr:uid="{32F227DE-7D51-CC46-AF53-67E8DCAE926F}"/>
    <hyperlink ref="B63" r:id="rId62" display="https://www.numbeo.com/cost-of-living/in/Albany" xr:uid="{496E3D3E-21EF-994C-9347-16507A0080B8}"/>
    <hyperlink ref="B64" r:id="rId63" display="https://www.numbeo.com/cost-of-living/in/Denver" xr:uid="{69AD3C57-C098-1848-AD70-44B0EF0E10E3}"/>
    <hyperlink ref="B65" r:id="rId64" display="https://www.numbeo.com/cost-of-living/in/Nice" xr:uid="{F5FA01BF-15DC-C643-B424-B1227C6C46BF}"/>
    <hyperlink ref="B66" r:id="rId65" display="https://www.numbeo.com/cost-of-living/in/Espoo" xr:uid="{7DB96FC7-591D-9E42-B6D3-9F77C1D2C503}"/>
    <hyperlink ref="B67" r:id="rId66" display="https://www.numbeo.com/cost-of-living/in/Atlanta" xr:uid="{DFE3451E-C329-D34C-B285-95C98E67C97E}"/>
    <hyperlink ref="B68" r:id="rId67" display="https://www.numbeo.com/cost-of-living/in/Milan" xr:uid="{9F0FDD72-664B-6A48-9D46-9EEC19A612BB}"/>
    <hyperlink ref="B69" r:id="rId68" display="https://www.numbeo.com/cost-of-living/in/Dublin" xr:uid="{88918D1A-6889-1D46-AF6B-2A311A460083}"/>
    <hyperlink ref="B70" r:id="rId69" display="https://www.numbeo.com/cost-of-living/in/Dallas" xr:uid="{0758B8D3-6DD7-C640-A168-4407A3A40ABD}"/>
    <hyperlink ref="B71" r:id="rId70" display="https://www.numbeo.com/cost-of-living/in/Rotterdam" xr:uid="{A6FBFF53-9DC7-8841-9B1A-A2139A464137}"/>
    <hyperlink ref="B72" r:id="rId71" display="https://www.numbeo.com/cost-of-living/in/Brighton" xr:uid="{009F1512-3139-3646-B11E-8B547B60BE7F}"/>
    <hyperlink ref="B73" r:id="rId72" display="https://www.numbeo.com/cost-of-living/in/Odense" xr:uid="{65966B24-815B-DF40-9E60-FA2FEF9F8040}"/>
    <hyperlink ref="B74" r:id="rId73" display="https://www.numbeo.com/cost-of-living/in/Vienna" xr:uid="{7FE2B505-51E4-7A4F-B6FB-0159F182C220}"/>
    <hyperlink ref="B75" r:id="rId74" display="https://www.numbeo.com/cost-of-living/in/Colorado-Springs" xr:uid="{73166716-2B45-174C-AF49-92DF417610A7}"/>
    <hyperlink ref="B76" r:id="rId75" display="https://www.numbeo.com/cost-of-living/in/Delft" xr:uid="{239C748E-2B4A-5A49-A456-35879FD212B2}"/>
    <hyperlink ref="B77" r:id="rId76" display="https://www.numbeo.com/cost-of-living/in/Cambridge" xr:uid="{17998DCB-D494-9E4E-8F92-9B44D243D790}"/>
    <hyperlink ref="B78" r:id="rId77" display="https://www.numbeo.com/cost-of-living/in/Phoenix" xr:uid="{67EE0BCE-BDD0-4246-9D19-DAB87F3BB116}"/>
    <hyperlink ref="B79" r:id="rId78" display="https://www.numbeo.com/cost-of-living/in/Minneapolis" xr:uid="{44EEE780-8E6B-E84F-9C5A-DF7EEE5D5F6C}"/>
    <hyperlink ref="B80" r:id="rId79" display="https://www.numbeo.com/cost-of-living/in/The-Hague-Den-Haag-Netherlands" xr:uid="{E6FBC99C-25AC-3A43-8C3A-ED094CE7BA30}"/>
    <hyperlink ref="B81" r:id="rId80" display="https://www.numbeo.com/cost-of-living/in/Gold-Coast" xr:uid="{2F851F67-A7CA-664D-9A9A-5AE49D7260C4}"/>
    <hyperlink ref="B82" r:id="rId81" display="https://www.numbeo.com/cost-of-living/in/Helsinki" xr:uid="{F9FBB961-7C02-064F-BA5A-DE7D851E10D5}"/>
    <hyperlink ref="B83" r:id="rId82" display="https://www.numbeo.com/cost-of-living/in/Hong-Kong" xr:uid="{1AA691E5-FDCF-3C4A-804A-5CC8F9428A9D}"/>
    <hyperlink ref="B84" r:id="rId83" display="https://www.numbeo.com/cost-of-living/in/Frankfurt" xr:uid="{8F75BF35-D602-2D46-9AF8-951B6276B9BC}"/>
    <hyperlink ref="B85" r:id="rId84" display="https://www.numbeo.com/cost-of-living/in/Buffalo" xr:uid="{3C9357EA-1F03-8F44-97D3-5E93DED11CDE}"/>
    <hyperlink ref="B86" r:id="rId85" display="https://www.numbeo.com/cost-of-living/in/Marseille" xr:uid="{F781D070-AED7-A74F-8E9C-5CD9D44DCA09}"/>
    <hyperlink ref="B87" r:id="rId86" display="https://www.numbeo.com/cost-of-living/in/Baltimore" xr:uid="{2ED65F63-52AE-BD48-8BC9-F12137FCDF80}"/>
    <hyperlink ref="B88" r:id="rId87" display="https://www.numbeo.com/cost-of-living/in/Syracuse" xr:uid="{45777BE0-FE8A-8640-893C-68BBDC279F2B}"/>
    <hyperlink ref="B89" r:id="rId88" display="https://www.numbeo.com/cost-of-living/in/Adelaide" xr:uid="{49799AC6-81F9-5642-AA3C-CA5763E96CBC}"/>
    <hyperlink ref="B90" r:id="rId89" display="https://www.numbeo.com/cost-of-living/in/Saint-Louis" xr:uid="{A5DF02DB-2942-6B45-83D8-6FA1E24A43C6}"/>
    <hyperlink ref="B91" r:id="rId90" display="https://www.numbeo.com/cost-of-living/in/Wiesbaden" xr:uid="{327A8F3C-2A4C-4B45-8753-B825316A33DA}"/>
    <hyperlink ref="B92" r:id="rId91" display="https://www.numbeo.com/cost-of-living/in/Galway" xr:uid="{941E22C0-20A8-1645-994F-35EE077758DC}"/>
    <hyperlink ref="B93" r:id="rId92" display="https://www.numbeo.com/cost-of-living/in/Karlsruhe" xr:uid="{EF6EAF1B-7B16-9142-A8B2-F0535FC0ECED}"/>
    <hyperlink ref="B94" r:id="rId93" display="https://www.numbeo.com/cost-of-living/in/Dusseldorf" xr:uid="{E62158DD-0818-404E-9AE2-16B6E1477B1B}"/>
    <hyperlink ref="B95" r:id="rId94" display="https://www.numbeo.com/cost-of-living/in/Strasbourg" xr:uid="{2DD40055-3885-F749-B897-274AECB0AA72}"/>
    <hyperlink ref="B96" r:id="rId95" display="https://www.numbeo.com/cost-of-living/in/Greenville" xr:uid="{BFB22A8E-749B-0848-870D-FCE655657788}"/>
    <hyperlink ref="B97" r:id="rId96" display="https://www.numbeo.com/cost-of-living/in/Edinburgh" xr:uid="{87F07DC3-AFB5-7E4D-925E-3DF156FF9C28}"/>
    <hyperlink ref="B98" r:id="rId97" display="https://www.numbeo.com/cost-of-living/in/Perth" xr:uid="{92591ECC-CA7E-5D41-A527-3915E1930C2C}"/>
    <hyperlink ref="B99" r:id="rId98" display="https://www.numbeo.com/cost-of-living/in/Nashville" xr:uid="{3E2A07F0-CE4D-6A46-8332-C06E423392B2}"/>
    <hyperlink ref="B100" r:id="rId99" display="https://www.numbeo.com/cost-of-living/in/Essen" xr:uid="{5D942A83-BF0A-EC4B-996D-80055B5280BA}"/>
    <hyperlink ref="B101" r:id="rId100" display="https://www.numbeo.com/cost-of-living/in/Lyon" xr:uid="{7A57AC8D-2D68-3444-BF6C-E53DDDAA517C}"/>
    <hyperlink ref="B102" r:id="rId101" display="https://www.numbeo.com/cost-of-living/in/Gent" xr:uid="{229A5EDF-7D81-F440-A560-668FB7563746}"/>
    <hyperlink ref="B103" r:id="rId102" display="https://www.numbeo.com/cost-of-living/in/Darmstadt" xr:uid="{F347CB5C-ECF0-0140-88FE-722851F19D83}"/>
    <hyperlink ref="B104" r:id="rId103" display="https://www.numbeo.com/cost-of-living/in/Graz" xr:uid="{572E3E6D-A7C4-2B48-B4F4-849B161A293E}"/>
    <hyperlink ref="B105" r:id="rId104" display="https://www.numbeo.com/cost-of-living/in/Heidelberg" xr:uid="{7261AAD0-095F-874C-9A0F-AE6084C9F36B}"/>
    <hyperlink ref="B106" r:id="rId105" display="https://www.numbeo.com/cost-of-living/in/Reading" xr:uid="{3A3D0207-6379-4E45-8A5D-7142580804A7}"/>
    <hyperlink ref="B107" r:id="rId106" display="https://www.numbeo.com/cost-of-living/in/Erfurt-Germany" xr:uid="{A0D9AE05-1F77-5B44-9EC8-578A7EFF2E3C}"/>
    <hyperlink ref="B108" r:id="rId107" display="https://www.numbeo.com/cost-of-living/in/Southampton" xr:uid="{B32BD16E-9950-2347-A6E9-CCC4B759F598}"/>
    <hyperlink ref="B109" r:id="rId108" display="https://www.numbeo.com/cost-of-living/in/Oklahoma-City" xr:uid="{63DCA8C1-A85B-8246-9E85-597B62C1BC26}"/>
    <hyperlink ref="B110" r:id="rId109" display="https://www.numbeo.com/cost-of-living/in/Cologne" xr:uid="{68D1DE56-9326-1343-B154-E5FAC3F0502C}"/>
    <hyperlink ref="B111" r:id="rId110" display="https://www.numbeo.com/cost-of-living/in/Antwerp" xr:uid="{B3AC3392-525F-524A-BAED-B395B380B9A0}"/>
    <hyperlink ref="B112" r:id="rId111" display="https://www.numbeo.com/cost-of-living/in/Fort-Worth" xr:uid="{76F06F0F-DE8A-B944-9918-7DD60CB62895}"/>
    <hyperlink ref="B113" r:id="rId112" display="https://www.numbeo.com/cost-of-living/in/Spokane" xr:uid="{41EDF6F3-4764-2148-9EB9-B6C31047CB7F}"/>
    <hyperlink ref="B114" r:id="rId113" display="https://www.numbeo.com/cost-of-living/in/Orlando" xr:uid="{3D48133D-26C7-BF4E-9A54-CFDC790B45F8}"/>
    <hyperlink ref="B115" r:id="rId114" display="https://www.numbeo.com/cost-of-living/in/Mainz" xr:uid="{E66175F7-F734-9645-A6D3-7405E5D53371}"/>
    <hyperlink ref="B116" r:id="rId115" display="https://www.numbeo.com/cost-of-living/in/Regensburg" xr:uid="{8E7D7A13-65F5-D847-86C3-95D8636DE0E9}"/>
    <hyperlink ref="B117" r:id="rId116" display="https://www.numbeo.com/cost-of-living/in/Leiden" xr:uid="{AD3666FA-9D7F-0346-9DEC-9450A98AAA34}"/>
    <hyperlink ref="B118" r:id="rId117" display="https://www.numbeo.com/cost-of-living/in/Cork" xr:uid="{877CFB46-D5DB-F540-8592-B21551AFA9E8}"/>
    <hyperlink ref="B119" r:id="rId118" display="https://www.numbeo.com/cost-of-living/in/Las-Vegas" xr:uid="{43C1AA4E-0A79-A44D-A5C6-12E84991E2A5}"/>
    <hyperlink ref="B120" r:id="rId119" display="https://www.numbeo.com/cost-of-living/in/Bristol" xr:uid="{C6E0A3D2-3653-F444-B59A-C8AF23C0064F}"/>
    <hyperlink ref="B121" r:id="rId120" display="https://www.numbeo.com/cost-of-living/in/Hamburg" xr:uid="{6830EF69-230A-AA4A-BFD4-9D650E7E1C66}"/>
    <hyperlink ref="B122" r:id="rId121" display="https://www.numbeo.com/cost-of-living/in/Eindhoven" xr:uid="{F5886008-2997-564B-B87A-317BCD40C115}"/>
    <hyperlink ref="B123" r:id="rId122" display="https://www.numbeo.com/cost-of-living/in/Richmond" xr:uid="{AE302CDE-A1A4-D545-A4CB-5C7C0E5828E7}"/>
    <hyperlink ref="B124" r:id="rId123" display="https://www.numbeo.com/cost-of-living/in/San-Juan" xr:uid="{88F014EE-BA36-A841-8D17-243193C073BA}"/>
    <hyperlink ref="B125" r:id="rId124" display="https://www.numbeo.com/cost-of-living/in/Augsburg" xr:uid="{A4CFD257-ECED-714D-8B34-4CC72AC92397}"/>
    <hyperlink ref="B126" r:id="rId125" display="https://www.numbeo.com/cost-of-living/in/Stuttgart" xr:uid="{8395F0EA-893A-C546-9D97-CEEFC1D8F7AC}"/>
    <hyperlink ref="B127" r:id="rId126" display="https://www.numbeo.com/cost-of-living/in/Aberdeen" xr:uid="{440A0E0F-12E6-E842-A432-3A7E0B38325F}"/>
    <hyperlink ref="B128" r:id="rId127" display="https://www.numbeo.com/cost-of-living/in/Brussels" xr:uid="{051131AE-E826-0840-B7B8-518953A148AF}"/>
    <hyperlink ref="B129" r:id="rId128" display="https://www.numbeo.com/cost-of-living/in/Columbus" xr:uid="{58315136-372B-704D-B50D-4DF797B656C1}"/>
    <hyperlink ref="B130" r:id="rId129" display="https://www.numbeo.com/cost-of-living/in/Tampa" xr:uid="{4CFFCB6D-C4C0-BD4B-9A3A-DD7322F16D47}"/>
    <hyperlink ref="B131" r:id="rId130" display="https://www.numbeo.com/cost-of-living/in/Brisbane" xr:uid="{8D2D0960-E063-2B40-8408-6927B1FD45D5}"/>
    <hyperlink ref="B132" r:id="rId131" display="https://www.numbeo.com/cost-of-living/in/Berlin" xr:uid="{E8CA19F0-A83E-B840-B103-1DBE0F48124B}"/>
    <hyperlink ref="B133" r:id="rId132" display="https://www.numbeo.com/cost-of-living/in/Kiel" xr:uid="{D6F827CF-61FC-0849-9E9E-5C95AC5CF4CE}"/>
    <hyperlink ref="B134" r:id="rId133" display="https://www.numbeo.com/cost-of-living/in/Charlotte" xr:uid="{DF67478C-369C-8641-8626-99314C9AD090}"/>
    <hyperlink ref="B135" r:id="rId134" display="https://www.numbeo.com/cost-of-living/in/Groningen" xr:uid="{0E7B2953-2177-C142-B1DE-C04BD0C53119}"/>
    <hyperlink ref="B136" r:id="rId135" display="https://www.numbeo.com/cost-of-living/in/Malmo" xr:uid="{86022BEB-71B3-874E-8C10-7EF6C35821D8}"/>
    <hyperlink ref="B137" r:id="rId136" display="https://www.numbeo.com/cost-of-living/in/Toulouse" xr:uid="{71B9436C-9FDD-0D47-B53A-04F56E3AFFB7}"/>
    <hyperlink ref="B138" r:id="rId137" display="https://www.numbeo.com/cost-of-living/in/Birmingham" xr:uid="{7098478A-E20C-EE4E-9E1D-5CA73F3D11E2}"/>
    <hyperlink ref="B139" r:id="rId138" display="https://www.numbeo.com/cost-of-living/in/Nuremberg" xr:uid="{E28C28B7-2C2A-0D41-BE4D-BAB536C9C452}"/>
    <hyperlink ref="B140" r:id="rId139" display="https://www.numbeo.com/cost-of-living/in/Uppsala" xr:uid="{2644E2CC-2568-0543-AECF-B4291080AE92}"/>
    <hyperlink ref="B141" r:id="rId140" display="https://www.numbeo.com/cost-of-living/in/Indianapolis" xr:uid="{77E1E8B0-2B4A-1348-A346-D5898A684A68}"/>
    <hyperlink ref="B142" r:id="rId141" display="https://www.numbeo.com/cost-of-living/in/Madison" xr:uid="{B08E3B5B-5917-E348-AD26-B8B76D351A3F}"/>
    <hyperlink ref="B143" r:id="rId142" display="https://www.numbeo.com/cost-of-living/in/Freiburg-Im-Breisgau" xr:uid="{F772346E-43D9-5343-BF65-554906C3ED03}"/>
    <hyperlink ref="B144" r:id="rId143" display="https://www.numbeo.com/cost-of-living/in/York" xr:uid="{3C09B2BB-3088-8548-8471-6A4A67FBA420}"/>
    <hyperlink ref="B145" r:id="rId144" display="https://www.numbeo.com/cost-of-living/in/Bordeaux" xr:uid="{9786B252-DB8E-EF42-AE05-FD7751AD3C79}"/>
    <hyperlink ref="B146" r:id="rId145" display="https://www.numbeo.com/cost-of-living/in/Bonn" xr:uid="{DD141C47-A4DE-BA4B-94DF-D48906530E67}"/>
    <hyperlink ref="B147" r:id="rId146" display="https://www.numbeo.com/cost-of-living/in/Ann-Arbor" xr:uid="{24139999-408F-E64A-8CEC-A6FB1CBD9BA1}"/>
    <hyperlink ref="B148" r:id="rId147" display="https://www.numbeo.com/cost-of-living/in/Linz" xr:uid="{A2F543C0-0059-044C-9AC1-18BAAB0BBE0E}"/>
    <hyperlink ref="B149" r:id="rId148" display="https://www.numbeo.com/cost-of-living/in/Turku" xr:uid="{D8C6058F-8342-544F-993C-68DD95A09F42}"/>
    <hyperlink ref="B150" r:id="rId149" display="https://www.numbeo.com/cost-of-living/in/Tampere" xr:uid="{007859E6-492A-0E46-94CF-C9690B49DEA3}"/>
    <hyperlink ref="B151" r:id="rId150" display="https://www.numbeo.com/cost-of-living/in/Dresden" xr:uid="{2C685934-92A4-2344-90EA-ACC1567F523B}"/>
    <hyperlink ref="B152" r:id="rId151" display="https://www.numbeo.com/cost-of-living/in/Florence" xr:uid="{A99A9E0E-6087-324F-95B5-A48D495691F3}"/>
    <hyperlink ref="B153" r:id="rId152" display="https://www.numbeo.com/cost-of-living/in/Bremen" xr:uid="{9DA92868-C01D-E345-ABAC-412243CB18B6}"/>
    <hyperlink ref="B154" r:id="rId153" display="https://www.numbeo.com/cost-of-living/in/Brescia" xr:uid="{D3BB3660-16B5-544B-A1DB-E9F0CD1B7E4A}"/>
    <hyperlink ref="B155" r:id="rId154" display="https://www.numbeo.com/cost-of-living/in/Victoria" xr:uid="{9BEA6AFC-B709-FF46-A5E8-B9EBE6E46A3A}"/>
    <hyperlink ref="B156" r:id="rId155" display="https://www.numbeo.com/cost-of-living/in/Birmingham-AL" xr:uid="{D38EB109-8840-6946-AF29-FA1FBC58B9D0}"/>
    <hyperlink ref="B157" r:id="rId156" display="https://www.numbeo.com/cost-of-living/in/Limerick" xr:uid="{08491D04-A4D9-EB43-93EA-D6902ED706B4}"/>
    <hyperlink ref="B158" r:id="rId157" display="https://www.numbeo.com/cost-of-living/in/Pittsburgh" xr:uid="{96ABED02-8D2D-8449-A21F-CCFFD4E82C8E}"/>
    <hyperlink ref="B159" r:id="rId158" display="https://www.numbeo.com/cost-of-living/in/Manchester" xr:uid="{FB7F4B8A-FFCC-F84E-A2A3-11C19238111B}"/>
    <hyperlink ref="B160" r:id="rId159" display="https://www.numbeo.com/cost-of-living/in/Vancouver" xr:uid="{6949E9B9-9235-3A48-94EF-19E55FDAED60}"/>
    <hyperlink ref="B161" r:id="rId160" display="https://www.numbeo.com/cost-of-living/in/Austin" xr:uid="{8B9E5A30-E22E-D94F-85BF-51901564B980}"/>
    <hyperlink ref="B162" r:id="rId161" display="https://www.numbeo.com/cost-of-living/in/Glasgow" xr:uid="{275E731B-16D4-4942-B71E-022C733279AE}"/>
    <hyperlink ref="B163" r:id="rId162" display="https://www.numbeo.com/cost-of-living/in/Bologna" xr:uid="{586F2162-A7E7-5648-80F8-7D69C52826A6}"/>
    <hyperlink ref="B164" r:id="rId163" display="https://www.numbeo.com/cost-of-living/in/Belfast" xr:uid="{8F130E38-0085-024B-A62F-40C772374A7F}"/>
    <hyperlink ref="B165" r:id="rId164" display="https://www.numbeo.com/cost-of-living/in/Hanover" xr:uid="{F3A2E705-D560-8B43-8526-59FD74CD50AB}"/>
    <hyperlink ref="B166" r:id="rId165" display="https://www.numbeo.com/cost-of-living/in/Milton-Keynes" xr:uid="{5A23CD34-D911-8646-A43B-DBA3B676D478}"/>
    <hyperlink ref="B167" r:id="rId166" display="https://www.numbeo.com/cost-of-living/in/Boise" xr:uid="{7CED990D-B637-884C-8DE5-C07C6A97532D}"/>
    <hyperlink ref="B168" r:id="rId167" display="https://www.numbeo.com/cost-of-living/in/Raleigh" xr:uid="{A227BA92-02EE-104E-BD65-3C8AE45EEF90}"/>
    <hyperlink ref="B169" r:id="rId168" display="https://www.numbeo.com/cost-of-living/in/Bournemouth" xr:uid="{B40B9F99-6CC4-A24D-9F71-3370AC364093}"/>
    <hyperlink ref="B170" r:id="rId169" display="https://www.numbeo.com/cost-of-living/in/Gainesville" xr:uid="{13CD1487-2D21-4A44-8516-D804A506225C}"/>
    <hyperlink ref="B171" r:id="rId170" display="https://www.numbeo.com/cost-of-living/in/Newcastle-Upon-Tyne" xr:uid="{490D2CD1-4BA4-4B4C-9A16-AED15E1E2130}"/>
    <hyperlink ref="B172" r:id="rId171" display="https://www.numbeo.com/cost-of-living/in/Toronto" xr:uid="{B8B01FAE-5FD7-3D4D-A4D7-C3A4737DA5CE}"/>
    <hyperlink ref="B173" r:id="rId172" display="https://www.numbeo.com/cost-of-living/in/Seoul" xr:uid="{718BC98C-F70B-194F-BC8F-A497A00BAA66}"/>
    <hyperlink ref="B174" r:id="rId173" display="https://www.numbeo.com/cost-of-living/in/Vancouver-WA" xr:uid="{886D6672-1EDF-5D4C-B79C-596EAC1035FE}"/>
    <hyperlink ref="B175" r:id="rId174" display="https://www.numbeo.com/cost-of-living/in/Milwaukee" xr:uid="{7D03B504-F0F0-654F-88FB-0D6770F00573}"/>
    <hyperlink ref="B176" r:id="rId175" display="https://www.numbeo.com/cost-of-living/in/Mannheim" xr:uid="{44BAD1C4-1950-7D4E-BE30-A9A604FCC0C3}"/>
    <hyperlink ref="B177" r:id="rId176" display="https://www.numbeo.com/cost-of-living/in/Leeds" xr:uid="{473EB0AD-0D7D-3D44-B995-D2CB0C0847B4}"/>
    <hyperlink ref="B178" r:id="rId177" display="https://www.numbeo.com/cost-of-living/in/Surrey" xr:uid="{68272176-C429-A14A-B33F-6DB102D8ACC7}"/>
    <hyperlink ref="B179" r:id="rId178" display="https://www.numbeo.com/cost-of-living/in/Leipzig" xr:uid="{AAF171FB-8E26-9248-A9AF-BFBAC6280BCF}"/>
    <hyperlink ref="B180" r:id="rId179" display="https://www.numbeo.com/cost-of-living/in/Gothenburg" xr:uid="{42CDD89B-128C-2344-9B49-FE98A1A41005}"/>
    <hyperlink ref="B181" r:id="rId180" display="https://www.numbeo.com/cost-of-living/in/Kansas-City" xr:uid="{AEC9D25A-CF12-CE42-AA7D-D5FB97F4C2FD}"/>
    <hyperlink ref="B182" r:id="rId181" display="https://www.numbeo.com/cost-of-living/in/Oulu" xr:uid="{A438F074-B337-6C45-8C70-FAA142EA93EB}"/>
    <hyperlink ref="B183" r:id="rId182" display="https://www.numbeo.com/cost-of-living/in/Cardiff" xr:uid="{21013F7B-1318-144A-85F2-B3D28C714970}"/>
    <hyperlink ref="B184" r:id="rId183" display="https://www.numbeo.com/cost-of-living/in/Verona" xr:uid="{0B43D225-3A6F-2945-8B75-F7A5861D6181}"/>
    <hyperlink ref="B185" r:id="rId184" display="https://www.numbeo.com/cost-of-living/in/Liverpool" xr:uid="{30857C60-0AC9-1D44-AC72-A5EF73C5D0E8}"/>
    <hyperlink ref="B186" r:id="rId185" display="https://www.numbeo.com/cost-of-living/in/Dundee" xr:uid="{80F64C6A-95C2-D040-A8C6-62BE1D7AD3F5}"/>
    <hyperlink ref="B187" r:id="rId186" display="https://www.numbeo.com/cost-of-living/in/Treviso" xr:uid="{15AB9839-2A17-D347-82EE-595AB10D35AA}"/>
    <hyperlink ref="B188" r:id="rId187" display="https://www.numbeo.com/cost-of-living/in/Lethbridge" xr:uid="{DF1B95F7-91B9-454B-821B-DB1737BD37CB}"/>
    <hyperlink ref="B189" r:id="rId188" display="https://www.numbeo.com/cost-of-living/in/Salt-Lake-City" xr:uid="{CF13E4EC-2C24-E045-A4A5-BD637EE67F23}"/>
    <hyperlink ref="B190" r:id="rId189" display="https://www.numbeo.com/cost-of-living/in/Nottingham" xr:uid="{38FEE21F-5773-3B4B-BFC5-D3015BD3418C}"/>
    <hyperlink ref="B191" r:id="rId190" display="https://www.numbeo.com/cost-of-living/in/Aachen" xr:uid="{DB31E2E9-97B0-FA46-B9D0-B80F186A8304}"/>
    <hyperlink ref="B192" r:id="rId191" display="https://www.numbeo.com/cost-of-living/in/Omaha" xr:uid="{F51651D1-A99C-1541-92B8-B809EADF8278}"/>
    <hyperlink ref="B193" r:id="rId192" display="https://www.numbeo.com/cost-of-living/in/Grenoble" xr:uid="{16ECAD27-7079-B644-BF90-4D56048AC74D}"/>
    <hyperlink ref="B194" r:id="rId193" display="https://www.numbeo.com/cost-of-living/in/Wichita" xr:uid="{DA0E9699-A628-694A-9B6A-EA5698B17D9A}"/>
    <hyperlink ref="B195" r:id="rId194" display="https://www.numbeo.com/cost-of-living/in/Erlangen" xr:uid="{D034E91D-AEAB-9640-B2D6-A1B6076104ED}"/>
    <hyperlink ref="B196" r:id="rId195" display="https://www.numbeo.com/cost-of-living/in/Kassel-Germany" xr:uid="{CE3D0584-F5CE-EB40-8CA4-8046653694E2}"/>
    <hyperlink ref="B197" r:id="rId196" display="https://www.numbeo.com/cost-of-living/in/Rochester" xr:uid="{F4C6F537-4CF2-6242-8AED-0D4FC572F343}"/>
    <hyperlink ref="B198" r:id="rId197" display="https://www.numbeo.com/cost-of-living/in/Kitchener" xr:uid="{9EA64E09-049C-5D4F-AEFA-C16580E44165}"/>
    <hyperlink ref="B199" r:id="rId198" display="https://www.numbeo.com/cost-of-living/in/Chemnitz" xr:uid="{25DC9EF5-9D83-A64E-B6DE-3DF24708959E}"/>
    <hyperlink ref="B200" r:id="rId199" display="https://www.numbeo.com/cost-of-living/in/Lille" xr:uid="{B552D51C-0B71-DF42-A53D-525D72F0B17A}"/>
    <hyperlink ref="B201" r:id="rId200" display="https://www.numbeo.com/cost-of-living/in/Jacksonville" xr:uid="{EA792C5F-C20C-5E49-8E12-A6EC9837EAA6}"/>
    <hyperlink ref="B202" r:id="rId201" display="https://www.numbeo.com/cost-of-living/in/Houston" xr:uid="{298E59C1-BAA6-C249-899A-50C2C2A31021}"/>
    <hyperlink ref="B203" r:id="rId202" display="https://www.numbeo.com/cost-of-living/in/Knoxville" xr:uid="{E9F4E51E-E6FB-E74D-81A6-24843189A18B}"/>
    <hyperlink ref="B204" r:id="rId203" display="https://www.numbeo.com/cost-of-living/in/Montpellier" xr:uid="{8FCE6299-0C6E-004E-B098-2CC1EA12D457}"/>
    <hyperlink ref="B205" r:id="rId204" display="https://www.numbeo.com/cost-of-living/in/Tucson" xr:uid="{37908138-11AE-6548-AA15-AFE773EC853C}"/>
    <hyperlink ref="B206" r:id="rId205" display="https://www.numbeo.com/cost-of-living/in/Lund" xr:uid="{ED94D79F-4D35-9A45-ABB2-518C25A015B5}"/>
    <hyperlink ref="B207" r:id="rId206" display="https://www.numbeo.com/cost-of-living/in/Coventry" xr:uid="{699D72FA-472D-4745-873C-9F82DF4F7C7C}"/>
    <hyperlink ref="B208" r:id="rId207" display="https://www.numbeo.com/cost-of-living/in/Sliema" xr:uid="{41CF4F5A-2B5C-8F45-9AD0-F39B55B28A90}"/>
    <hyperlink ref="B209" r:id="rId208" display="https://www.numbeo.com/cost-of-living/in/Auckland" xr:uid="{CF249186-1AF5-B845-8B41-0FD4E6A1A0C7}"/>
    <hyperlink ref="B210" r:id="rId209" display="https://www.numbeo.com/cost-of-living/in/Braunschweig" xr:uid="{615D8272-1970-7B46-B5A1-2174286CEFED}"/>
    <hyperlink ref="B211" r:id="rId210" display="https://www.numbeo.com/cost-of-living/in/San-Antonio" xr:uid="{176D63EA-5A96-1E4B-8BE0-E8640840995E}"/>
    <hyperlink ref="B212" r:id="rId211" display="https://www.numbeo.com/cost-of-living/in/Bolzano-Bozen" xr:uid="{1F53063D-0511-7D4F-AB1E-12FE2E7D1027}"/>
    <hyperlink ref="B213" r:id="rId212" display="https://www.numbeo.com/cost-of-living/in/Tulsa" xr:uid="{4AEC9CEC-AFF4-FD4D-A0E4-205A29A4407F}"/>
    <hyperlink ref="B214" r:id="rId213" display="https://www.numbeo.com/cost-of-living/in/Cleveland" xr:uid="{FDD07986-9D55-6440-9FAB-53CFC599006E}"/>
    <hyperlink ref="B215" r:id="rId214" display="https://www.numbeo.com/cost-of-living/in/Leuven" xr:uid="{A9A61E4D-42B2-E14E-BAFD-5A8B2FF3F055}"/>
    <hyperlink ref="B216" r:id="rId215" display="https://www.numbeo.com/cost-of-living/in/St-John%27s-Newfoundland-and-Labrador-Canada" xr:uid="{C043D2C9-81CB-5240-A3D0-2207B966DE2A}"/>
    <hyperlink ref="B217" r:id="rId216" display="https://www.numbeo.com/cost-of-living/in/Wellington" xr:uid="{C22DF3B9-72F0-294E-A572-82068156F369}"/>
    <hyperlink ref="B218" r:id="rId217" display="https://www.numbeo.com/cost-of-living/in/Trento" xr:uid="{A8724A24-E8F4-9440-9D2A-AEA6ACF5736B}"/>
    <hyperlink ref="B219" r:id="rId218" display="https://www.numbeo.com/cost-of-living/in/Sheffield" xr:uid="{72B33D4E-77BA-F64F-A3B7-6806456D8243}"/>
    <hyperlink ref="B220" r:id="rId219" display="https://www.numbeo.com/cost-of-living/in/Tallinn" xr:uid="{6DCE8B23-615D-014B-B65B-7A2E1B9A1D0B}"/>
    <hyperlink ref="B221" r:id="rId220" display="https://www.numbeo.com/cost-of-living/in/Padova" xr:uid="{55DEDF7F-F473-2841-A19F-C07AA4F2736F}"/>
    <hyperlink ref="B222" r:id="rId221" display="https://www.numbeo.com/cost-of-living/in/Calgary" xr:uid="{85362F57-4EF5-284E-8474-C8FC7093DB52}"/>
    <hyperlink ref="B223" r:id="rId222" display="https://www.numbeo.com/cost-of-living/in/Kelowna" xr:uid="{607FB743-E876-964F-A686-6380984F008F}"/>
    <hyperlink ref="B224" r:id="rId223" display="https://www.numbeo.com/cost-of-living/in/Cagliari" xr:uid="{4AFCD9F6-1F7B-BF4A-9AE7-76A36BB44CA3}"/>
    <hyperlink ref="B225" r:id="rId224" display="https://www.numbeo.com/cost-of-living/in/Albuquerque" xr:uid="{C65085C9-6588-DF4D-91D2-FD7A6A107F74}"/>
    <hyperlink ref="B226" r:id="rId225" display="https://www.numbeo.com/cost-of-living/in/Cincinnati" xr:uid="{80D477C0-5165-1948-9C8F-1791168BB6D6}"/>
    <hyperlink ref="B227" r:id="rId226" display="https://www.numbeo.com/cost-of-living/in/Mississauga" xr:uid="{A38CE14E-5834-7A4C-8349-3A4D8D55BD77}"/>
    <hyperlink ref="B228" r:id="rId227" display="https://www.numbeo.com/cost-of-living/in/Saskatoon" xr:uid="{E9105587-D080-C94D-A305-65C594F405DB}"/>
    <hyperlink ref="B229" r:id="rId228" display="https://www.numbeo.com/cost-of-living/in/Edmonton" xr:uid="{E364C082-5902-524F-BC75-B578CB92969C}"/>
    <hyperlink ref="B230" r:id="rId229" display="https://www.numbeo.com/cost-of-living/in/Halifax" xr:uid="{9CFD08D8-BFD4-F747-9A90-003BA66C00ED}"/>
    <hyperlink ref="B231" r:id="rId230" display="https://www.numbeo.com/cost-of-living/in/Guelph" xr:uid="{3173EA98-97C3-2740-BFA1-CDDE926ABA0A}"/>
    <hyperlink ref="B232" r:id="rId231" display="https://www.numbeo.com/cost-of-living/in/Nanaimo" xr:uid="{38022057-F84C-A24A-9322-AC1EE17D1EA7}"/>
    <hyperlink ref="B233" r:id="rId232" display="https://www.numbeo.com/cost-of-living/in/Ottawa" xr:uid="{6E0AACFC-9E61-F041-8ABE-52FA0FAF93E5}"/>
    <hyperlink ref="B234" r:id="rId233" display="https://www.numbeo.com/cost-of-living/in/Limassol" xr:uid="{753B97B4-3302-A74D-AE4E-55427DF73A2A}"/>
    <hyperlink ref="B235" r:id="rId234" display="https://www.numbeo.com/cost-of-living/in/Valletta" xr:uid="{8C64FA03-51C6-1649-A980-567546E6549A}"/>
    <hyperlink ref="B236" r:id="rId235" display="https://www.numbeo.com/cost-of-living/in/Villach-Austria" xr:uid="{8394FC2F-0E55-E848-9D2D-EFD71D3E3CF8}"/>
    <hyperlink ref="B237" r:id="rId236" display="https://www.numbeo.com/cost-of-living/in/Regina" xr:uid="{080B38B8-3593-0347-8D2F-A84B1CA24495}"/>
    <hyperlink ref="B238" r:id="rId237" display="https://www.numbeo.com/cost-of-living/in/London-Canada" xr:uid="{2DE1DFA3-B399-6641-9814-F45EBB1BE03F}"/>
    <hyperlink ref="B239" r:id="rId238" display="https://www.numbeo.com/cost-of-living/in/Louisville" xr:uid="{E1B80C4C-7FD8-5744-B9CE-6D5D2F8B2F07}"/>
    <hyperlink ref="B240" r:id="rId239" display="https://www.numbeo.com/cost-of-living/in/Columbia" xr:uid="{314A60FF-D6A0-DC41-9CE5-8FAC48A8CBB0}"/>
    <hyperlink ref="B241" r:id="rId240" display="https://www.numbeo.com/cost-of-living/in/Genoa" xr:uid="{D51F1636-A199-B345-A42B-FE336F7783FD}"/>
    <hyperlink ref="B242" r:id="rId241" display="https://www.numbeo.com/cost-of-living/in/Dubai" xr:uid="{F4FADD3D-FEC4-4E44-A37C-7C5AD2E32C5B}"/>
    <hyperlink ref="B243" r:id="rId242" display="https://www.numbeo.com/cost-of-living/in/Trieste" xr:uid="{E3FACF2D-8507-1F4D-ADAF-CF2C146F8E52}"/>
    <hyperlink ref="B244" r:id="rId243" display="https://www.numbeo.com/cost-of-living/in/Rome" xr:uid="{2FB42577-9D13-EC46-ACA7-988407B4391E}"/>
    <hyperlink ref="B245" r:id="rId244" display="https://www.numbeo.com/cost-of-living/in/Christchurch" xr:uid="{C38DFB45-9F2B-A94C-89D9-23893E5C4602}"/>
    <hyperlink ref="B246" r:id="rId245" display="https://www.numbeo.com/cost-of-living/in/Brampton" xr:uid="{2218F8F2-86A0-2F45-A369-A9C4936282E7}"/>
    <hyperlink ref="B247" r:id="rId246" display="https://www.numbeo.com/cost-of-living/in/Montreal" xr:uid="{C277EFFD-176C-0C47-85F2-A6F2D0D39C74}"/>
    <hyperlink ref="B248" r:id="rId247" display="https://www.numbeo.com/cost-of-living/in/Turin" xr:uid="{71AA9360-D5C7-ED48-B3F9-1EF8D57A5460}"/>
    <hyperlink ref="B249" r:id="rId248" display="https://www.numbeo.com/cost-of-living/in/Huntsville" xr:uid="{B5772B3B-DE28-6C49-AF0C-03FC7498AA85}"/>
    <hyperlink ref="B250" r:id="rId249" display="https://www.numbeo.com/cost-of-living/in/Naples" xr:uid="{D89075A9-ABEC-3F41-A887-6FC012A85104}"/>
    <hyperlink ref="B251" r:id="rId250" display="https://www.numbeo.com/cost-of-living/in/Winnipeg" xr:uid="{E658F2B7-D0A2-5946-AB55-BE472609B7A0}"/>
    <hyperlink ref="B252" r:id="rId251" display="https://www.numbeo.com/cost-of-living/in/Quebec-City" xr:uid="{D297376A-A564-4B44-B509-CFAF3A65FF95}"/>
    <hyperlink ref="B253" r:id="rId252" display="https://www.numbeo.com/cost-of-living/in/Madrid" xr:uid="{31639DAD-2107-014B-98B1-CBCC8084FB32}"/>
    <hyperlink ref="B254" r:id="rId253" display="https://www.numbeo.com/cost-of-living/in/Rimini" xr:uid="{D9C2A3BB-CDFD-8C44-A08C-1F65911A505B}"/>
    <hyperlink ref="B255" r:id="rId254" display="https://www.numbeo.com/cost-of-living/in/Hamilton" xr:uid="{B6F972C0-7320-5144-B237-22CC74A78F85}"/>
    <hyperlink ref="B256" r:id="rId255" display="https://www.numbeo.com/cost-of-living/in/Moncton" xr:uid="{B91EDD8F-D328-564F-B44A-5F185F3EC7BA}"/>
    <hyperlink ref="B257" r:id="rId256" display="https://www.numbeo.com/cost-of-living/in/Barcelona" xr:uid="{294F7AC9-2EB7-1C4B-B996-CA0ECBF89250}"/>
    <hyperlink ref="B258" r:id="rId257" display="https://www.numbeo.com/cost-of-living/in/Remagen-Germany" xr:uid="{0B44D8F1-1310-344D-8C10-5FDEC75EC4CA}"/>
    <hyperlink ref="B259" r:id="rId258" display="https://www.numbeo.com/cost-of-living/in/Reggio-Nell%27emilia" xr:uid="{5302841E-FB98-3941-9041-0D16D9BE45BA}"/>
    <hyperlink ref="B260" r:id="rId259" display="https://www.numbeo.com/cost-of-living/in/Palma-De-Mallorca" xr:uid="{6D053285-23B1-7A46-881E-8FB4204A572E}"/>
    <hyperlink ref="B261" r:id="rId260" display="https://www.numbeo.com/cost-of-living/in/Bergamo" xr:uid="{BAEFA491-7712-5E44-B24D-2610D7E239F5}"/>
    <hyperlink ref="B262" r:id="rId261" display="https://www.numbeo.com/cost-of-living/in/Prague" xr:uid="{CC9271E2-AF17-9944-BF65-2D38FA0EEEC3}"/>
    <hyperlink ref="B263" r:id="rId262" display="https://www.numbeo.com/cost-of-living/in/Windsor" xr:uid="{E4D4045F-E0EA-7C4A-8746-120B7F5937D6}"/>
    <hyperlink ref="B264" r:id="rId263" display="https://www.numbeo.com/cost-of-living/in/Ljubljana" xr:uid="{D7A640AE-194E-0144-BB2E-C178C16109DA}"/>
    <hyperlink ref="B265" r:id="rId264" display="https://www.numbeo.com/cost-of-living/in/Split" xr:uid="{2E36DC58-8F5E-7449-B085-713314952663}"/>
    <hyperlink ref="B266" r:id="rId265" display="https://www.numbeo.com/cost-of-living/in/Nicosia" xr:uid="{116E4DC8-8E42-3040-84E5-DFF0DF787713}"/>
    <hyperlink ref="B267" r:id="rId266" display="https://www.numbeo.com/cost-of-living/in/Tartu" xr:uid="{305BA577-C31E-1844-B2BA-D509931BB4A7}"/>
    <hyperlink ref="B268" r:id="rId267" display="https://www.numbeo.com/cost-of-living/in/Montevideo" xr:uid="{70E9A578-4F04-674C-AB49-0D1B65F28FDD}"/>
    <hyperlink ref="B269" r:id="rId268" display="https://www.numbeo.com/cost-of-living/in/Athens" xr:uid="{051EFE6A-1B3C-AA45-8511-2C7AFCAB1666}"/>
    <hyperlink ref="B270" r:id="rId269" display="https://www.numbeo.com/cost-of-living/in/Bari" xr:uid="{1464F4A7-0E27-B74E-8074-FB8E51E256D8}"/>
    <hyperlink ref="B271" r:id="rId270" display="https://www.numbeo.com/cost-of-living/in/San-Jose-Costa-Rica" xr:uid="{90B78675-6C11-B540-802E-961D6CE24CDB}"/>
    <hyperlink ref="B272" r:id="rId271" display="https://www.numbeo.com/cost-of-living/in/Paphos" xr:uid="{E6717789-141D-234E-BC78-7959AC16CE81}"/>
    <hyperlink ref="B273" r:id="rId272" display="https://www.numbeo.com/cost-of-living/in/Kingston" xr:uid="{0F5EF66D-8473-9F4B-9913-454A0B6AB64A}"/>
    <hyperlink ref="B274" r:id="rId273" display="https://www.numbeo.com/cost-of-living/in/Bratislava" xr:uid="{CA4D5BAF-1C42-3648-B8D2-A11ACD1DA407}"/>
    <hyperlink ref="B275" r:id="rId274" display="https://www.numbeo.com/cost-of-living/in/Heraklion" xr:uid="{02A58D76-71CC-CE40-94E0-9EB67E8BBE05}"/>
    <hyperlink ref="B276" r:id="rId275" display="https://www.numbeo.com/cost-of-living/in/Palermo" xr:uid="{6599304E-FEF3-0341-BA67-09C417F133F0}"/>
    <hyperlink ref="B277" r:id="rId276" display="https://www.numbeo.com/cost-of-living/in/Tokyo" xr:uid="{C52185D7-B623-E643-ACCD-223D45BC1E41}"/>
    <hyperlink ref="B278" r:id="rId277" display="https://www.numbeo.com/cost-of-living/in/Bilbao" xr:uid="{419BAC99-CD35-6241-9FD9-88A7A6EE5573}"/>
    <hyperlink ref="B279" r:id="rId278" display="https://www.numbeo.com/cost-of-living/in/Thessaloniki" xr:uid="{B0A554DC-7CD7-3548-B1C3-82FDEBEEFC0A}"/>
    <hyperlink ref="B280" r:id="rId279" display="https://www.numbeo.com/cost-of-living/in/Oviedo" xr:uid="{674DF38B-35E3-9A49-B94C-F858CAD83F89}"/>
    <hyperlink ref="B281" r:id="rId280" display="https://www.numbeo.com/cost-of-living/in/Ras-Al-khaimah" xr:uid="{CD29164D-2E46-C140-ACFC-9A955E0D0A01}"/>
    <hyperlink ref="B282" r:id="rId281" display="https://www.numbeo.com/cost-of-living/in/Taipei" xr:uid="{845D3231-FA2A-6242-BB0C-1652A737C662}"/>
    <hyperlink ref="B283" r:id="rId282" display="https://www.numbeo.com/cost-of-living/in/Riga" xr:uid="{C79A0C23-B2B6-0441-AB88-B61AFFDC7628}"/>
    <hyperlink ref="B284" r:id="rId283" display="https://www.numbeo.com/cost-of-living/in/Lisbon" xr:uid="{43F3AA8F-4873-F148-9104-964DDBB160B1}"/>
    <hyperlink ref="B285" r:id="rId284" display="https://www.numbeo.com/cost-of-living/in/Larnaca" xr:uid="{CC67AB62-BD8E-DF45-B84C-E122EBC29AAA}"/>
    <hyperlink ref="B286" r:id="rId285" display="https://www.numbeo.com/cost-of-living/in/Doha" xr:uid="{7AE5B096-625F-E546-8BC4-9DC4B8457FCA}"/>
    <hyperlink ref="B287" r:id="rId286" display="https://www.numbeo.com/cost-of-living/in/Zagreb" xr:uid="{D6CF617F-E0A2-4541-AB81-8372EA3E34DC}"/>
    <hyperlink ref="B288" r:id="rId287" display="https://www.numbeo.com/cost-of-living/in/Rijeka" xr:uid="{DB105564-9D00-DC4B-AE80-F7D9616B0F2D}"/>
    <hyperlink ref="B289" r:id="rId288" display="https://www.numbeo.com/cost-of-living/in/Abu-Dhabi" xr:uid="{C3893B08-EEB9-6B49-9048-59C9B59F06D1}"/>
    <hyperlink ref="B290" r:id="rId289" display="https://www.numbeo.com/cost-of-living/in/Catania" xr:uid="{360115AF-C328-F146-988A-B6F92FAB60F4}"/>
    <hyperlink ref="B291" r:id="rId290" display="https://www.numbeo.com/cost-of-living/in/New-Taipei-City" xr:uid="{21AF108B-F20F-C945-94D6-792FBE2A9E45}"/>
    <hyperlink ref="B292" r:id="rId291" display="https://www.numbeo.com/cost-of-living/in/Brno" xr:uid="{7F87DE5E-E781-BF4E-A1CF-AA03C219C5F2}"/>
    <hyperlink ref="B293" r:id="rId292" display="https://www.numbeo.com/cost-of-living/in/Warsaw" xr:uid="{5EE3016E-5728-C547-83FE-A8F90815E735}"/>
    <hyperlink ref="B294" r:id="rId293" display="https://www.numbeo.com/cost-of-living/in/Vilnius" xr:uid="{7592EC74-ED4F-054D-B25B-E26C6B2617F4}"/>
    <hyperlink ref="B295" r:id="rId294" display="https://www.numbeo.com/cost-of-living/in/Kaunas" xr:uid="{708F0A68-06E1-E941-9FD8-B63809C3EC1C}"/>
    <hyperlink ref="B296" r:id="rId295" display="https://www.numbeo.com/cost-of-living/in/Alicante" xr:uid="{3D604415-E6F6-AF4D-BEB5-10EF1FA30516}"/>
    <hyperlink ref="B297" r:id="rId296" display="https://www.numbeo.com/cost-of-living/in/Valencia" xr:uid="{0B562386-35C5-5E4F-BF02-6C1993D85394}"/>
    <hyperlink ref="B298" r:id="rId297" display="https://www.numbeo.com/cost-of-living/in/Kosice" xr:uid="{A20DBAEB-97B8-6445-B7E4-D238F8FA5C92}"/>
    <hyperlink ref="B299" r:id="rId298" display="https://www.numbeo.com/cost-of-living/in/Malaga" xr:uid="{5D3431B2-6D3A-FF47-A7A5-9B1F488CC3E4}"/>
    <hyperlink ref="B300" r:id="rId299" display="https://www.numbeo.com/cost-of-living/in/Sharjah" xr:uid="{1268D90F-C3C0-6444-9E60-1138FF658025}"/>
    <hyperlink ref="B301" r:id="rId300" display="https://www.numbeo.com/cost-of-living/in/Beirut" xr:uid="{C45E4339-0A31-4344-AC37-72DE69C84320}"/>
    <hyperlink ref="B302" r:id="rId301" display="https://www.numbeo.com/cost-of-living/in/Plzen" xr:uid="{A3753F9E-18D6-2A48-BCFC-AA8EE0B42242}"/>
    <hyperlink ref="B303" r:id="rId302" display="https://www.numbeo.com/cost-of-living/in/Monterrey" xr:uid="{1BB0D6E3-38DB-BD47-BDBE-4FB309E6D979}"/>
    <hyperlink ref="B304" r:id="rId303" display="https://www.numbeo.com/cost-of-living/in/Budapest" xr:uid="{D4F84F9C-767F-664E-AE43-62994BDE75C0}"/>
    <hyperlink ref="B305" r:id="rId304" display="https://www.numbeo.com/cost-of-living/in/Buenos-Aires" xr:uid="{1A6D09D1-39B7-AF4F-9CD8-11DE3DF418AC}"/>
    <hyperlink ref="B306" r:id="rId305" display="https://www.numbeo.com/cost-of-living/in/Las-Palmas" xr:uid="{96EB780C-0E99-C144-A345-D3CF92844C89}"/>
    <hyperlink ref="B307" r:id="rId306" display="https://www.numbeo.com/cost-of-living/in/Wroclaw" xr:uid="{9E693511-F86A-674B-A03B-DDB922CA3B22}"/>
    <hyperlink ref="B308" r:id="rId307" display="https://www.numbeo.com/cost-of-living/in/Porto" xr:uid="{EAB52B8A-6611-0B42-BF12-406A2CA27C2F}"/>
    <hyperlink ref="B309" r:id="rId308" display="https://www.numbeo.com/cost-of-living/in/Tirana" xr:uid="{13A897F9-8920-5D47-BA84-E7FBF93C9B90}"/>
    <hyperlink ref="B310" r:id="rId309" display="https://www.numbeo.com/cost-of-living/in/Krakow-Cracow" xr:uid="{7F64FD4C-A0AF-BA40-8804-771AC2E4CAA5}"/>
    <hyperlink ref="B311" r:id="rId310" display="https://www.numbeo.com/cost-of-living/in/Ostrava" xr:uid="{A2157390-9F97-E445-A8C5-58AFA6C34140}"/>
    <hyperlink ref="B312" r:id="rId311" display="https://www.numbeo.com/cost-of-living/in/Granada" xr:uid="{C1F276C7-32C2-3C42-93BF-4C2972407FCE}"/>
    <hyperlink ref="B313" r:id="rId312" display="https://www.numbeo.com/cost-of-living/in/Gdansk" xr:uid="{CCD92F5C-D303-E944-AA04-D33A629DF142}"/>
    <hyperlink ref="B314" r:id="rId313" display="https://www.numbeo.com/cost-of-living/in/Gdynia" xr:uid="{41F11C0B-CB8C-9749-9815-75B0802EA8C3}"/>
    <hyperlink ref="B315" r:id="rId314" display="https://www.numbeo.com/cost-of-living/in/Al-Khobar" xr:uid="{F9A5D733-DCCA-6741-B08B-D5CDF90981C0}"/>
    <hyperlink ref="B316" r:id="rId315" display="https://www.numbeo.com/cost-of-living/in/Sevilla" xr:uid="{612456F7-545F-ED4C-AD70-AD2218EE5D77}"/>
    <hyperlink ref="B317" r:id="rId316" display="https://www.numbeo.com/cost-of-living/in/Budva" xr:uid="{2E1E0BAF-74FF-E847-A60E-A0C15D02AD31}"/>
    <hyperlink ref="B318" r:id="rId317" display="https://www.numbeo.com/cost-of-living/in/Riyadh" xr:uid="{B7EC0AE2-F2EE-9D4B-9E15-48430141463B}"/>
    <hyperlink ref="B319" r:id="rId318" display="https://www.numbeo.com/cost-of-living/in/Panama-City" xr:uid="{D781463E-6D08-B64A-8E2E-87E46089D1AA}"/>
    <hyperlink ref="B320" r:id="rId319" display="https://www.numbeo.com/cost-of-living/in/Funchal" xr:uid="{3F11A559-D3D1-7043-9659-A9BCF550FD43}"/>
    <hyperlink ref="B321" r:id="rId320" display="https://www.numbeo.com/cost-of-living/in/Belgrade" xr:uid="{C03659A7-64F7-C140-B3C4-9D8DF430BAC1}"/>
    <hyperlink ref="B322" r:id="rId321" display="https://www.numbeo.com/cost-of-living/in/Olomouc" xr:uid="{9EB3CD27-1293-2648-8F20-F395694EFC1B}"/>
    <hyperlink ref="B323" r:id="rId322" display="https://www.numbeo.com/cost-of-living/in/Sofia" xr:uid="{170B9B29-1B7C-334B-B7E2-AE42E85CA276}"/>
    <hyperlink ref="B324" r:id="rId323" display="https://www.numbeo.com/cost-of-living/in/Pecs" xr:uid="{22FC0979-5142-0542-A6B2-DB6E695B3A9C}"/>
    <hyperlink ref="B325" r:id="rId324" display="https://www.numbeo.com/cost-of-living/in/Lodz" xr:uid="{00B93BD8-84DC-934C-9087-9731BF5CD013}"/>
    <hyperlink ref="B326" r:id="rId325" display="https://www.numbeo.com/cost-of-living/in/Braga" xr:uid="{EEF996CB-67AD-5046-8244-E8CA4A70DB52}"/>
    <hyperlink ref="B327" r:id="rId326" display="https://www.numbeo.com/cost-of-living/in/Taichung" xr:uid="{FBCE6FDB-F043-D946-9556-D0478E4ADCA0}"/>
    <hyperlink ref="B328" r:id="rId327" display="https://www.numbeo.com/cost-of-living/in/Coimbra" xr:uid="{24EA1937-16CD-4C44-8A56-392BC3E390AB}"/>
    <hyperlink ref="B329" r:id="rId328" display="https://www.numbeo.com/cost-of-living/in/Mexico-City" xr:uid="{262B158E-FDC6-374A-A8C1-5B90291A05E2}"/>
    <hyperlink ref="B330" r:id="rId329" display="https://www.numbeo.com/cost-of-living/in/Cluj-napoca" xr:uid="{8E251876-1570-2C44-944F-B6973601192D}"/>
    <hyperlink ref="B331" r:id="rId330" display="https://www.numbeo.com/cost-of-living/in/Poznan" xr:uid="{B135EB23-1788-F944-8C95-7024F3EA1E22}"/>
    <hyperlink ref="B332" r:id="rId331" display="https://www.numbeo.com/cost-of-living/in/Cordoba" xr:uid="{542412E0-B0B2-C649-835D-7E83B56F0537}"/>
    <hyperlink ref="B333" r:id="rId332" display="https://www.numbeo.com/cost-of-living/in/Torrevieja" xr:uid="{9F979712-66C4-194A-926C-F742C6F5ACE1}"/>
    <hyperlink ref="B334" r:id="rId333" display="https://www.numbeo.com/cost-of-living/in/Caracas" xr:uid="{DA71BD38-2358-7C4F-AAF1-A73787EE71A6}"/>
    <hyperlink ref="B335" r:id="rId334" display="https://www.numbeo.com/cost-of-living/in/Moscow" xr:uid="{13778879-6BB4-264B-96C0-111D4A4C782C}"/>
    <hyperlink ref="B336" r:id="rId335" display="https://www.numbeo.com/cost-of-living/in/Varna" xr:uid="{CE2C3FE8-01FE-4A4A-8387-C32B1EA97E0A}"/>
    <hyperlink ref="B337" r:id="rId336" display="https://www.numbeo.com/cost-of-living/in/Kuwait-City" xr:uid="{89F970F0-844C-F040-A34A-DE09C3051AF5}"/>
    <hyperlink ref="B338" r:id="rId337" display="https://www.numbeo.com/cost-of-living/in/Bucharest" xr:uid="{B4341047-CAEF-B34E-8AC2-AF2E19A480E5}"/>
    <hyperlink ref="B339" r:id="rId338" display="https://www.numbeo.com/cost-of-living/in/Queretaro-Santiago-de-Queretaro-Mexico" xr:uid="{6B96EFD5-A936-CF4C-AFF7-2F57CADFE8C3}"/>
    <hyperlink ref="B340" r:id="rId339" display="https://www.numbeo.com/cost-of-living/in/Muscat" xr:uid="{59267885-7737-654C-B12D-94CB26FE2F96}"/>
    <hyperlink ref="B341" r:id="rId340" display="https://www.numbeo.com/cost-of-living/in/Istanbul" xr:uid="{D7159300-7AF4-3C42-963D-3B42ED91369E}"/>
    <hyperlink ref="B342" r:id="rId341" display="https://www.numbeo.com/cost-of-living/in/Novi-Sad" xr:uid="{866E55AE-DF37-8444-A162-AAA866C04B2E}"/>
    <hyperlink ref="B343" r:id="rId342" display="https://www.numbeo.com/cost-of-living/in/Manama" xr:uid="{33ADFA7E-7F76-7A4D-B898-F8FB962086A6}"/>
    <hyperlink ref="B344" r:id="rId343" display="https://www.numbeo.com/cost-of-living/in/Abidjan" xr:uid="{E25D5B76-A495-B846-B438-90919BCBD81B}"/>
    <hyperlink ref="B345" r:id="rId344" display="https://www.numbeo.com/cost-of-living/in/Debrecen" xr:uid="{D20CAC77-3DC9-CA4F-B5B9-A36924A5E956}"/>
    <hyperlink ref="B346" r:id="rId345" display="https://www.numbeo.com/cost-of-living/in/Szczecin" xr:uid="{A4F17DD4-3C65-3046-8A6D-B70000EDD8BE}"/>
    <hyperlink ref="B347" r:id="rId346" display="https://www.numbeo.com/cost-of-living/in/Kaohsiung" xr:uid="{775D0591-C6C4-C94D-870C-9EF3E01A9E9F}"/>
    <hyperlink ref="B348" r:id="rId347" display="https://www.numbeo.com/cost-of-living/in/Ajman" xr:uid="{86965BC9-9608-F346-9144-3A7CA5D74346}"/>
    <hyperlink ref="B349" r:id="rId348" display="https://www.numbeo.com/cost-of-living/in/Szeged" xr:uid="{53E7396F-BEFC-9743-BBEA-298AB74BDD79}"/>
    <hyperlink ref="B350" r:id="rId349" display="https://www.numbeo.com/cost-of-living/in/Jeddah-Jiddah" xr:uid="{5AFF59DF-6E43-7843-86C7-D85AD268FC7C}"/>
    <hyperlink ref="B351" r:id="rId350" display="https://www.numbeo.com/cost-of-living/in/Brasov" xr:uid="{4E4A330D-3DAA-DD4D-91A1-4A19C467D54E}"/>
    <hyperlink ref="B352" r:id="rId351" display="https://www.numbeo.com/cost-of-living/in/Katowice" xr:uid="{9D931ABE-9870-9A46-A447-92EF06D0BB3E}"/>
    <hyperlink ref="B353" r:id="rId352" display="https://www.numbeo.com/cost-of-living/in/Osaka" xr:uid="{2B532243-1FA5-EC40-8B80-2E3C5C124BC6}"/>
    <hyperlink ref="B354" r:id="rId353" display="https://www.numbeo.com/cost-of-living/in/Ad-Dammam" xr:uid="{6FAACD2B-276D-AF44-87C5-58EB0FA4103C}"/>
    <hyperlink ref="B355" r:id="rId354" display="https://www.numbeo.com/cost-of-living/in/Constanta" xr:uid="{DD51B951-D157-0A49-AAC4-4DBD59D98F87}"/>
    <hyperlink ref="B356" r:id="rId355" display="https://www.numbeo.com/cost-of-living/in/Amman" xr:uid="{44BA4A9E-7DBA-304C-A7CB-612FE5AEF482}"/>
    <hyperlink ref="B357" r:id="rId356" display="https://www.numbeo.com/cost-of-living/in/Sarajevo" xr:uid="{AB104F79-AF46-C648-9BE7-8A6222BE8ECB}"/>
    <hyperlink ref="B358" r:id="rId357" display="https://www.numbeo.com/cost-of-living/in/Santiago" xr:uid="{A04463A2-6407-214D-A8A1-8C8BFED60254}"/>
    <hyperlink ref="B359" r:id="rId358" display="https://www.numbeo.com/cost-of-living/in/Podgorica" xr:uid="{45BE84A8-143A-AF4D-94AC-3FB8124A32B8}"/>
    <hyperlink ref="B360" r:id="rId359" display="https://www.numbeo.com/cost-of-living/in/Guadalajara" xr:uid="{9178B7CE-F883-F74A-A634-EBF184161F4D}"/>
    <hyperlink ref="B361" r:id="rId360" display="https://www.numbeo.com/cost-of-living/in/Merida" xr:uid="{2508F2BE-6C14-C746-A44C-E92DBD83C992}"/>
    <hyperlink ref="B362" r:id="rId361" display="https://www.numbeo.com/cost-of-living/in/San-Salvador" xr:uid="{FB4036E0-7495-974C-A923-F0BF6D1BD5BD}"/>
    <hyperlink ref="B363" r:id="rId362" display="https://www.numbeo.com/cost-of-living/in/Phuket" xr:uid="{7BE3F6AE-A3ED-EB40-8FD7-44F711F35E0D}"/>
    <hyperlink ref="B364" r:id="rId363" display="https://www.numbeo.com/cost-of-living/in/Yerevan" xr:uid="{1C76400E-DEE9-604C-9BC4-D033B039CA4F}"/>
    <hyperlink ref="B365" r:id="rId364" display="https://www.numbeo.com/cost-of-living/in/Izmir" xr:uid="{8F00D264-6024-8E4F-94CF-2B7BCA083583}"/>
    <hyperlink ref="B366" r:id="rId365" display="https://www.numbeo.com/cost-of-living/in/Vlore-Albania" xr:uid="{B4BA36AF-6566-DF4A-BB67-6137232CD06E}"/>
    <hyperlink ref="B367" r:id="rId366" display="https://www.numbeo.com/cost-of-living/in/Santo-Domingo" xr:uid="{A8771933-A75D-B148-A135-9495281D6A58}"/>
    <hyperlink ref="B368" r:id="rId367" display="https://www.numbeo.com/cost-of-living/in/Pretoria" xr:uid="{200C1F12-60EB-2A4A-A41A-768C1555E6BD}"/>
    <hyperlink ref="B369" r:id="rId368" display="https://www.numbeo.com/cost-of-living/in/Addis-Ababa" xr:uid="{33C9BDEE-DDA7-C64B-AFEB-8053B2CC5E57}"/>
    <hyperlink ref="B370" r:id="rId369" display="https://www.numbeo.com/cost-of-living/in/Bangkok" xr:uid="{96FE3BFC-26AF-154B-85B7-40C0E0D37433}"/>
    <hyperlink ref="B371" r:id="rId370" display="https://www.numbeo.com/cost-of-living/in/Timisoara" xr:uid="{D88E785E-4481-D544-A4DD-7692BE48510E}"/>
    <hyperlink ref="B372" r:id="rId371" display="https://www.numbeo.com/cost-of-living/in/Makati" xr:uid="{911D4914-B2C8-ED44-AB7D-1C09FB52ABAD}"/>
    <hyperlink ref="B373" r:id="rId372" display="https://www.numbeo.com/cost-of-living/in/Vladivostok" xr:uid="{8CB626F3-A9FF-0342-9226-C36F5A37DDCF}"/>
    <hyperlink ref="B374" r:id="rId373" display="https://www.numbeo.com/cost-of-living/in/Iasi" xr:uid="{8F3217FF-FE7A-154C-9DFD-07C4A252161F}"/>
    <hyperlink ref="B375" r:id="rId374" display="https://www.numbeo.com/cost-of-living/in/Cape-Town" xr:uid="{6BA4623F-65D2-A949-A930-5EA067603CAE}"/>
    <hyperlink ref="B376" r:id="rId375" display="https://www.numbeo.com/cost-of-living/in/Plovdiv" xr:uid="{11D06D72-DA2B-954B-8129-6F4A42916BD4}"/>
    <hyperlink ref="B377" r:id="rId376" display="https://www.numbeo.com/cost-of-living/in/Burgas" xr:uid="{79E97759-A563-D845-A6FB-1C1A70AE6F4E}"/>
    <hyperlink ref="B378" r:id="rId377" display="https://www.numbeo.com/cost-of-living/in/Johannesburg" xr:uid="{DA532422-E9DC-9540-9A4D-3FC9AC64ABB4}"/>
    <hyperlink ref="B379" r:id="rId378" display="https://www.numbeo.com/cost-of-living/in/Ankara" xr:uid="{5A069E9C-3AF5-514B-A9D6-00DDFEDDCC54}"/>
    <hyperlink ref="B380" r:id="rId379" display="https://www.numbeo.com/cost-of-living/in/Sao-Paulo" xr:uid="{DEA1C3A8-3D0D-D34F-8183-DE117B0F92DD}"/>
    <hyperlink ref="B381" r:id="rId380" display="https://www.numbeo.com/cost-of-living/in/Aguascalientes" xr:uid="{67FD5946-F5DA-A348-801F-00094103EDA7}"/>
    <hyperlink ref="B382" r:id="rId381" display="https://www.numbeo.com/cost-of-living/in/Bursa" xr:uid="{5488F036-FC52-3746-BBCE-3E810CC8374B}"/>
    <hyperlink ref="B383" r:id="rId382" display="https://www.numbeo.com/cost-of-living/in/Kuala-Lumpur" xr:uid="{9564E439-7936-124B-8274-96EF439BFDDF}"/>
    <hyperlink ref="B384" r:id="rId383" display="https://www.numbeo.com/cost-of-living/in/Antalya" xr:uid="{CA2C6449-6F33-F94C-9002-E55217F209F8}"/>
    <hyperlink ref="B385" r:id="rId384" display="https://www.numbeo.com/cost-of-living/in/Craiova" xr:uid="{FB15E913-08C8-A848-9F5A-FCAB3725D663}"/>
    <hyperlink ref="B386" r:id="rId385" display="https://www.numbeo.com/cost-of-living/in/Shanghai" xr:uid="{17AEB56E-042A-8241-883F-C67FD4340208}"/>
    <hyperlink ref="B387" r:id="rId386" display="https://www.numbeo.com/cost-of-living/in/Galati" xr:uid="{A8EC6ACB-AA99-774E-96E2-ADE354D28901}"/>
    <hyperlink ref="B388" r:id="rId387" display="https://www.numbeo.com/cost-of-living/in/Harare" xr:uid="{6E143DB9-E091-DF4F-B9F9-0A0E30652B28}"/>
    <hyperlink ref="B389" r:id="rId388" display="https://www.numbeo.com/cost-of-living/in/Phnom-Penh" xr:uid="{5A725160-0A8B-0C47-9744-D1E3160167E4}"/>
    <hyperlink ref="B390" r:id="rId389" display="https://www.numbeo.com/cost-of-living/in/Windhoek" xr:uid="{0469E804-F8D8-9C4B-8CC3-16465FE0FF50}"/>
    <hyperlink ref="B391" r:id="rId390" display="https://www.numbeo.com/cost-of-living/in/Sibiu" xr:uid="{028C32B3-97DB-0344-9370-CD44D381DC63}"/>
    <hyperlink ref="B392" r:id="rId391" display="https://www.numbeo.com/cost-of-living/in/Targu-Mures" xr:uid="{2ECBE390-CA19-6345-A34B-D58D708B0620}"/>
    <hyperlink ref="B393" r:id="rId392" display="https://www.numbeo.com/cost-of-living/in/Skopje" xr:uid="{F88C853F-56B9-2E42-AE20-979D97B653AA}"/>
    <hyperlink ref="B394" r:id="rId393" display="https://www.numbeo.com/cost-of-living/in/Oradea" xr:uid="{04345F48-363E-0E40-B77F-D2CBA26C3B2C}"/>
    <hyperlink ref="B395" r:id="rId394" display="https://www.numbeo.com/cost-of-living/in/Mersin" xr:uid="{D7CB35B9-D1B9-974A-89F1-7371F33B7824}"/>
    <hyperlink ref="B396" r:id="rId395" display="https://www.numbeo.com/cost-of-living/in/Beijing" xr:uid="{0ADE7050-E839-1442-9464-29A7296E376B}"/>
    <hyperlink ref="B397" r:id="rId396" display="https://www.numbeo.com/cost-of-living/in/Shenzhen" xr:uid="{E5CAE0F7-F958-534D-8803-E226D5AFCE8E}"/>
    <hyperlink ref="B398" r:id="rId397" display="https://www.numbeo.com/cost-of-living/in/Almaty" xr:uid="{D464D7F9-B92E-A942-BA5D-FBA01BBF36BD}"/>
    <hyperlink ref="B399" r:id="rId398" display="https://www.numbeo.com/cost-of-living/in/Nis" xr:uid="{37DF1333-5499-E04D-A26B-613678F8F73E}"/>
    <hyperlink ref="B400" r:id="rId399" display="https://www.numbeo.com/cost-of-living/in/Saint-Petersburg" xr:uid="{B75B16A9-1DAA-814A-9D43-97F54C45931E}"/>
    <hyperlink ref="B401" r:id="rId400" display="https://www.numbeo.com/cost-of-living/in/Pattaya" xr:uid="{8A69F3DD-E07B-8749-918E-61FB82A8416D}"/>
    <hyperlink ref="B402" r:id="rId401" display="https://www.numbeo.com/cost-of-living/in/Tbilisi" xr:uid="{87E581C2-0BF1-6849-89E7-C0EEBEFCAA14}"/>
    <hyperlink ref="B403" r:id="rId402" display="https://www.numbeo.com/cost-of-living/in/Chisinau" xr:uid="{06C33CD2-2557-A34E-B934-BB22BA5FAC51}"/>
    <hyperlink ref="B404" r:id="rId403" display="https://www.numbeo.com/cost-of-living/in/Tyumen-Russia" xr:uid="{D79D2307-9B7B-9B4B-8747-CFB650BD4E9D}"/>
    <hyperlink ref="B405" r:id="rId404" display="https://www.numbeo.com/cost-of-living/in/Medellin" xr:uid="{EF2A8D5C-4E5E-104F-B0B9-F7A41AEA1430}"/>
    <hyperlink ref="B406" r:id="rId405" display="https://www.numbeo.com/cost-of-living/in/Yekaterinburg" xr:uid="{DC00FD4D-6043-E848-AB97-3BB709F9905E}"/>
    <hyperlink ref="B407" r:id="rId406" display="https://www.numbeo.com/cost-of-living/in/Eskisehir" xr:uid="{619F445A-E95B-BD4F-B339-46812C961C61}"/>
    <hyperlink ref="B408" r:id="rId407" display="https://www.numbeo.com/cost-of-living/in/Suzhou" xr:uid="{24A62AED-211F-6048-9D00-D91691742B2C}"/>
    <hyperlink ref="B409" r:id="rId408" display="https://www.numbeo.com/cost-of-living/in/Guayaquil" xr:uid="{B5F76AFE-8FB2-5741-BFF9-118E9EEF24F0}"/>
    <hyperlink ref="B410" r:id="rId409" display="https://www.numbeo.com/cost-of-living/in/Accra" xr:uid="{1E8ED182-25C4-A345-B029-7F0474B9ACDB}"/>
    <hyperlink ref="B411" r:id="rId410" display="https://www.numbeo.com/cost-of-living/in/Kuching" xr:uid="{4F3820DC-2607-1B4D-80B7-F4323ED6FF24}"/>
    <hyperlink ref="B412" r:id="rId411" display="https://www.numbeo.com/cost-of-living/in/Bali" xr:uid="{C864724E-67EF-514C-A9DB-B8EEE958C785}"/>
    <hyperlink ref="B413" r:id="rId412" display="https://www.numbeo.com/cost-of-living/in/Guangzhou" xr:uid="{42F2EE51-258B-EC46-8A12-C2612A941920}"/>
    <hyperlink ref="B414" r:id="rId413" display="https://www.numbeo.com/cost-of-living/in/Florianopolis" xr:uid="{72A78882-20F0-334B-A8CE-F4C35CC918FD}"/>
    <hyperlink ref="B415" r:id="rId414" display="https://www.numbeo.com/cost-of-living/in/Campinas" xr:uid="{B10559B4-D212-5344-8814-4384A1AD861F}"/>
    <hyperlink ref="B416" r:id="rId415" display="https://www.numbeo.com/cost-of-living/in/Tangier" xr:uid="{3C49A61D-6BE5-744C-A135-C0216B98E567}"/>
    <hyperlink ref="B417" r:id="rId416" display="https://www.numbeo.com/cost-of-living/in/Brasilia" xr:uid="{593B44BC-2DF2-BF4E-BFE2-B79AC591AC6F}"/>
    <hyperlink ref="B418" r:id="rId417" display="https://www.numbeo.com/cost-of-living/in/Hangzhou" xr:uid="{2AB34D4D-9379-8640-AD20-8FC3CB566B52}"/>
    <hyperlink ref="B419" r:id="rId418" display="https://www.numbeo.com/cost-of-living/in/Rio-De-Janeiro" xr:uid="{114F7E22-E948-9045-B27E-8EDF8A9EDF20}"/>
    <hyperlink ref="B420" r:id="rId419" display="https://www.numbeo.com/cost-of-living/in/Kaliningrad" xr:uid="{11DF22A1-4CD6-6B41-A2EA-B82D25F4F3C1}"/>
    <hyperlink ref="B421" r:id="rId420" display="https://www.numbeo.com/cost-of-living/in/Barranquilla" xr:uid="{6CE1F7AB-30F7-DD46-9ECF-C14FE58AC0A8}"/>
    <hyperlink ref="B422" r:id="rId421" display="https://www.numbeo.com/cost-of-living/in/Erbil-Irbil-Iraq" xr:uid="{0C0C0D88-D6EE-104B-9D5C-33B834226892}"/>
    <hyperlink ref="B423" r:id="rId422" display="https://www.numbeo.com/cost-of-living/in/Lima" xr:uid="{F12D4B7C-52BD-AE48-BE26-68D2FD93DC05}"/>
    <hyperlink ref="B424" r:id="rId423" display="https://www.numbeo.com/cost-of-living/in/Joao-Pessoa" xr:uid="{85B4624B-35D4-1A42-8AEA-8EDA9FD06EFB}"/>
    <hyperlink ref="B425" r:id="rId424" display="https://www.numbeo.com/cost-of-living/in/Durban" xr:uid="{4E8C0DD0-2616-7244-AAF3-37DB0248A287}"/>
    <hyperlink ref="B426" r:id="rId425" display="https://www.numbeo.com/cost-of-living/in/Bogota" xr:uid="{2024C980-400B-1246-A4DA-70CF7D057BBF}"/>
    <hyperlink ref="B427" r:id="rId426" display="https://www.numbeo.com/cost-of-living/in/Ulaanbaatar" xr:uid="{903CDBB5-1A6E-1F4C-BE86-858DCA1D3349}"/>
    <hyperlink ref="B428" r:id="rId427" display="https://www.numbeo.com/cost-of-living/in/Colombo" xr:uid="{70C8B611-2E76-A646-BB6B-3F42D557F91C}"/>
    <hyperlink ref="B429" r:id="rId428" display="https://www.numbeo.com/cost-of-living/in/Manila" xr:uid="{E1751DFD-362E-274E-B3B9-E6AD042F47F2}"/>
    <hyperlink ref="B430" r:id="rId429" display="https://www.numbeo.com/cost-of-living/in/Baghdad" xr:uid="{C18B4629-3E45-464A-AA3C-22F4F60FAF64}"/>
    <hyperlink ref="B431" r:id="rId430" display="https://www.numbeo.com/cost-of-living/in/Hua-Hin" xr:uid="{8D21ED06-E620-6B40-A00C-B7E12703525C}"/>
    <hyperlink ref="B432" r:id="rId431" display="https://www.numbeo.com/cost-of-living/in/Fortaleza" xr:uid="{1934B9BE-A77F-9E4C-89D3-E66B74D1CF2B}"/>
    <hyperlink ref="B433" r:id="rId432" display="https://www.numbeo.com/cost-of-living/in/Casablanca" xr:uid="{A44BA70A-613F-F047-8F46-71387C15A4BC}"/>
    <hyperlink ref="B434" r:id="rId433" display="https://www.numbeo.com/cost-of-living/in/Penang" xr:uid="{D0E63686-1DAE-E543-8598-1364408EA210}"/>
    <hyperlink ref="B435" r:id="rId434" display="https://www.numbeo.com/cost-of-living/in/Quito" xr:uid="{7C8E0702-FB7B-1942-A415-5A8D1D67EFA4}"/>
    <hyperlink ref="B436" r:id="rId435" display="https://www.numbeo.com/cost-of-living/in/Porto-Alegre" xr:uid="{F971D449-A872-8145-831A-82777DDA93AE}"/>
    <hyperlink ref="B437" r:id="rId436" display="https://www.numbeo.com/cost-of-living/in/Krasnoyarsk" xr:uid="{37C94566-3035-3543-958F-4C55EDB0B457}"/>
    <hyperlink ref="B438" r:id="rId437" display="https://www.numbeo.com/cost-of-living/in/Kazan" xr:uid="{3C639021-C54E-9B40-99BB-ACFDD459B3A5}"/>
    <hyperlink ref="B439" r:id="rId438" display="https://www.numbeo.com/cost-of-living/in/Ufa" xr:uid="{DFC6CD36-10C0-194D-A3D1-5A1377865A17}"/>
    <hyperlink ref="B440" r:id="rId439" display="https://www.numbeo.com/cost-of-living/in/Damascus" xr:uid="{DC03B997-5D40-2047-AE6E-04B99B5F3D97}"/>
    <hyperlink ref="B441" r:id="rId440" display="https://www.numbeo.com/cost-of-living/in/Chiang-Mai" xr:uid="{281802E5-2123-0040-B629-F0236377DF67}"/>
    <hyperlink ref="B442" r:id="rId441" display="https://www.numbeo.com/cost-of-living/in/Krasnodar" xr:uid="{A24D4EEF-D1BC-8147-996F-CF1C22C7FC1B}"/>
    <hyperlink ref="B443" r:id="rId442" display="https://www.numbeo.com/cost-of-living/in/Stara-Zagora-Bulgaria" xr:uid="{1D6A7F63-0D68-344D-AF65-D100914B0813}"/>
    <hyperlink ref="B444" r:id="rId443" display="https://www.numbeo.com/cost-of-living/in/Baku" xr:uid="{AD18E952-1955-C848-9BE7-13DDB2DB9144}"/>
    <hyperlink ref="B445" r:id="rId444" display="https://www.numbeo.com/cost-of-living/in/Rabat" xr:uid="{985C1C23-6EFC-DC4F-AF35-5074FAEAE3F8}"/>
    <hyperlink ref="B446" r:id="rId445" display="https://www.numbeo.com/cost-of-living/in/Belo-Horizonte" xr:uid="{8B641FFF-30DB-7B4B-8017-ED1767BD14D3}"/>
    <hyperlink ref="B447" r:id="rId446" display="https://www.numbeo.com/cost-of-living/in/Nizhny-Novgorod-Russia" xr:uid="{283E58E0-F4A6-F943-AD1D-B74DB850F437}"/>
    <hyperlink ref="B448" r:id="rId447" display="https://www.numbeo.com/cost-of-living/in/Novosibirsk" xr:uid="{F9AD2ABE-F7A3-F24F-B856-C68206B353C6}"/>
    <hyperlink ref="B449" r:id="rId448" display="https://www.numbeo.com/cost-of-living/in/Voronezh" xr:uid="{740F9755-BC82-B646-86FA-B2371892F4A7}"/>
    <hyperlink ref="B450" r:id="rId449" display="https://www.numbeo.com/cost-of-living/in/Salvador" xr:uid="{50001993-82B5-7A4D-AC98-0A1D20C4FC7D}"/>
    <hyperlink ref="B451" r:id="rId450" display="https://www.numbeo.com/cost-of-living/in/Curitiba" xr:uid="{AADFD2E8-0CAB-C04B-B8DF-73DC2FD2789F}"/>
    <hyperlink ref="B452" r:id="rId451" display="https://www.numbeo.com/cost-of-living/in/Chelyabinsk" xr:uid="{69C7D433-A743-274C-B371-324EE6F74521}"/>
    <hyperlink ref="B453" r:id="rId452" display="https://www.numbeo.com/cost-of-living/in/Cebu" xr:uid="{AA6FD33E-810D-E346-9257-855348E96F34}"/>
    <hyperlink ref="B454" r:id="rId453" display="https://www.numbeo.com/cost-of-living/in/Tomsk" xr:uid="{C57EE2A5-9A5B-9D43-9BF2-113BE8A60FF6}"/>
    <hyperlink ref="B455" r:id="rId454" display="https://www.numbeo.com/cost-of-living/in/Samara" xr:uid="{255977BF-C5A4-DB43-87D7-6C122A88C04B}"/>
    <hyperlink ref="B456" r:id="rId455" display="https://www.numbeo.com/cost-of-living/in/Rostov-on-Don-Rostov-na-donu-Russia" xr:uid="{6814D862-CCE0-9747-AC17-C72CFE207275}"/>
    <hyperlink ref="B457" r:id="rId456" display="https://www.numbeo.com/cost-of-living/in/Quezon-City" xr:uid="{AD54FCED-576F-9740-BA30-75418DF1CB21}"/>
    <hyperlink ref="B458" r:id="rId457" display="https://www.numbeo.com/cost-of-living/in/Agadir" xr:uid="{AC354471-F43C-624F-A24E-0FBCBCF883B5}"/>
    <hyperlink ref="B459" r:id="rId458" display="https://www.numbeo.com/cost-of-living/in/Kiev" xr:uid="{36C33ECD-0B0F-7E43-8EC7-03F2E3E4BAAF}"/>
    <hyperlink ref="B460" r:id="rId459" display="https://www.numbeo.com/cost-of-living/in/Sousse" xr:uid="{72755A67-34A8-9441-82F1-D70740652824}"/>
    <hyperlink ref="B461" r:id="rId460" display="https://www.numbeo.com/cost-of-living/in/Lagos" xr:uid="{F403FE95-B2FB-9948-A72E-E58CB351EFC8}"/>
    <hyperlink ref="B462" r:id="rId461" display="https://www.numbeo.com/cost-of-living/in/Changsha-China" xr:uid="{48B50EB1-9C57-FC47-BAE0-EE3FA84D3428}"/>
    <hyperlink ref="B463" r:id="rId462" display="https://www.numbeo.com/cost-of-living/in/Cali" xr:uid="{8CCD841A-78AF-8A44-A357-DFDA4D1DF4DF}"/>
    <hyperlink ref="B464" r:id="rId463" display="https://www.numbeo.com/cost-of-living/in/Marrakech" xr:uid="{1DB57CAD-6CBC-B94C-ACE6-14CBDAC0505A}"/>
    <hyperlink ref="B465" r:id="rId464" display="https://www.numbeo.com/cost-of-living/in/Santa-Cruz-Bolivia" xr:uid="{3CB8BDCE-F1DD-C544-AAB4-FE5E32CE6F8F}"/>
    <hyperlink ref="B466" r:id="rId465" display="https://www.numbeo.com/cost-of-living/in/Astana-Nur-Sultan-Kazakhstan" xr:uid="{636998A1-1244-B848-AD1A-091776F92EC1}"/>
    <hyperlink ref="B467" r:id="rId466" display="https://www.numbeo.com/cost-of-living/in/Nairobi" xr:uid="{25A88BCC-4EB4-2842-A260-779D42ADD02C}"/>
    <hyperlink ref="B468" r:id="rId467" display="https://www.numbeo.com/cost-of-living/in/Minsk" xr:uid="{C106779E-8DA3-D943-94F6-978C7A59D436}"/>
    <hyperlink ref="B469" r:id="rId468" display="https://www.numbeo.com/cost-of-living/in/Davao" xr:uid="{F0B17A17-B261-D847-8EE2-A7676CC47B7D}"/>
    <hyperlink ref="B470" r:id="rId469" display="https://www.numbeo.com/cost-of-living/in/Tunis" xr:uid="{9823C7CE-1BE5-434C-9C57-628A9F5C3669}"/>
    <hyperlink ref="B471" r:id="rId470" display="https://www.numbeo.com/cost-of-living/in/Asuncion" xr:uid="{153A6B75-CE73-F64A-9CF4-82E38F68E871}"/>
    <hyperlink ref="B472" r:id="rId471" display="https://www.numbeo.com/cost-of-living/in/Perm" xr:uid="{EE92D53E-BC8F-CE42-8284-BC6F75DFEBD1}"/>
    <hyperlink ref="B473" r:id="rId472" display="https://www.numbeo.com/cost-of-living/in/Batumi" xr:uid="{2A27451F-986A-DD4C-B87E-AA1F23922564}"/>
    <hyperlink ref="B474" r:id="rId473" display="https://www.numbeo.com/cost-of-living/in/Nanjing" xr:uid="{980C4B62-4F5F-A646-924D-DB1BA75CFE02}"/>
    <hyperlink ref="B475" r:id="rId474" display="https://www.numbeo.com/cost-of-living/in/Recife" xr:uid="{7DF7AF12-A5F8-F743-B8D4-CD4FFBBCA442}"/>
    <hyperlink ref="B476" r:id="rId475" display="https://www.numbeo.com/cost-of-living/in/Dnipropetrovsk" xr:uid="{338FE544-E94B-CD43-A94E-BF98E4A8A28C}"/>
    <hyperlink ref="B477" r:id="rId476" display="https://www.numbeo.com/cost-of-living/in/Wuhan" xr:uid="{9A47DA5B-5CCC-A74E-9C6B-F96B2D890011}"/>
    <hyperlink ref="B478" r:id="rId477" display="https://www.numbeo.com/cost-of-living/in/Cuenca" xr:uid="{0939A167-3D7D-8342-9375-A6B1B6EA92EE}"/>
    <hyperlink ref="B479" r:id="rId478" display="https://www.numbeo.com/cost-of-living/in/Lviv" xr:uid="{BDE95722-BC68-4E4A-B376-6E4FA966C2F2}"/>
    <hyperlink ref="B480" r:id="rId479" display="https://www.numbeo.com/cost-of-living/in/Jakarta" xr:uid="{D44D241D-167F-D54E-8369-EF0DC26589F6}"/>
    <hyperlink ref="B481" r:id="rId480" display="https://www.numbeo.com/cost-of-living/in/Qingdao" xr:uid="{B99C3F6C-1D4D-F141-BBBA-F895F538AB98}"/>
    <hyperlink ref="B482" r:id="rId481" display="https://www.numbeo.com/cost-of-living/in/Tashkent" xr:uid="{2F3ED3BB-EAD9-914F-9687-3656F595150F}"/>
    <hyperlink ref="B483" r:id="rId482" display="https://www.numbeo.com/cost-of-living/in/Pristina" xr:uid="{77423929-F8D0-1D41-85AC-D864220DECA7}"/>
    <hyperlink ref="B484" r:id="rId483" display="https://www.numbeo.com/cost-of-living/in/Bishkek" xr:uid="{F3A18C2C-4EE3-6647-8727-559F634FF005}"/>
    <hyperlink ref="B485" r:id="rId484" display="https://www.numbeo.com/cost-of-living/in/Odesa" xr:uid="{02EFC1D8-4C06-D246-8C2D-56539435B8A8}"/>
    <hyperlink ref="B486" r:id="rId485" display="https://www.numbeo.com/cost-of-living/in/Hanoi" xr:uid="{899D0562-2AE1-7D4F-96E1-FE7A777424B2}"/>
    <hyperlink ref="B487" r:id="rId486" display="https://www.numbeo.com/cost-of-living/in/Ho-Chi-Minh-City" xr:uid="{908746BB-A550-804D-962D-9FA3915F5019}"/>
    <hyperlink ref="B488" r:id="rId487" display="https://www.numbeo.com/cost-of-living/in/Algiers" xr:uid="{447BD3C6-481C-2E4C-949E-304F1589BA5A}"/>
    <hyperlink ref="B489" r:id="rId488" display="https://www.numbeo.com/cost-of-living/in/Chengdu" xr:uid="{3B0AF2CE-4DA4-0A44-8E8A-FDF59D35C7E5}"/>
    <hyperlink ref="B490" r:id="rId489" display="https://www.numbeo.com/cost-of-living/in/Dushanbe" xr:uid="{5AD301F6-0F1B-E043-B445-CFC4FB0CBF15}"/>
    <hyperlink ref="B491" r:id="rId490" display="https://www.numbeo.com/cost-of-living/in/Chongqing" xr:uid="{36904908-2B50-5E4E-B2D7-50E44E4C6294}"/>
    <hyperlink ref="B492" r:id="rId491" display="https://www.numbeo.com/cost-of-living/in/Dar-Es-Salaam" xr:uid="{C1C814E8-AB7D-1C40-B074-3A0350B5C285}"/>
    <hyperlink ref="B493" r:id="rId492" display="https://www.numbeo.com/cost-of-living/in/Surabaya" xr:uid="{E681BB44-ED62-7C47-8158-CC5B7E93572A}"/>
    <hyperlink ref="B494" r:id="rId493" display="https://www.numbeo.com/cost-of-living/in/Kigali" xr:uid="{D1AE9BC1-09CB-BE49-A084-84A6C5DC5880}"/>
    <hyperlink ref="B495" r:id="rId494" display="https://www.numbeo.com/cost-of-living/in/Xi%27an" xr:uid="{9C01DB4F-BFAD-464F-BFCE-5FFDDAA97A65}"/>
    <hyperlink ref="B496" r:id="rId495" display="https://www.numbeo.com/cost-of-living/in/Da-Nang" xr:uid="{53B70F08-6BE4-6E41-B652-FC3A76AC1182}"/>
    <hyperlink ref="B497" r:id="rId496" display="https://www.numbeo.com/cost-of-living/in/Kampala" xr:uid="{FB1E8868-0D6B-5E43-84FE-385360F0F1B7}"/>
    <hyperlink ref="B498" r:id="rId497" display="https://www.numbeo.com/cost-of-living/in/Kharkiv" xr:uid="{150644AE-ACC7-9449-98E6-6552B76F20B4}"/>
    <hyperlink ref="B499" r:id="rId498" display="https://www.numbeo.com/cost-of-living/in/Mumbai" xr:uid="{8DCD6A9C-C968-254A-ACE4-466C84C5D14E}"/>
    <hyperlink ref="B500" r:id="rId499" display="https://www.numbeo.com/cost-of-living/in/Dhaka" xr:uid="{D1A4798E-BCDB-A740-8FF3-7D3D76EEA4AD}"/>
    <hyperlink ref="B501" r:id="rId500" display="https://www.numbeo.com/cost-of-living/in/Bandung" xr:uid="{E998D060-193B-1449-A8F5-5C2C44628540}"/>
    <hyperlink ref="B502" r:id="rId501" display="https://www.numbeo.com/cost-of-living/in/Gurgaon" xr:uid="{F672FD4D-7967-B14D-BFFF-9234E156AA04}"/>
    <hyperlink ref="B503" r:id="rId502" display="https://www.numbeo.com/cost-of-living/in/Islamabad" xr:uid="{A4A2C445-F0AA-EA4A-A19A-D03514E0A380}"/>
    <hyperlink ref="B504" r:id="rId503" display="https://www.numbeo.com/cost-of-living/in/Chittagong" xr:uid="{4843A9DB-8CAC-CA44-911D-BE2428C80BDE}"/>
    <hyperlink ref="B505" r:id="rId504" display="https://www.numbeo.com/cost-of-living/in/Kathmandu" xr:uid="{25E88A50-EA68-A145-9FA5-8DA3F6A6DDD5}"/>
    <hyperlink ref="B506" r:id="rId505" display="https://www.numbeo.com/cost-of-living/in/Tehran" xr:uid="{E909D5FF-E892-1B48-9189-663870F9210C}"/>
    <hyperlink ref="B507" r:id="rId506" display="https://www.numbeo.com/cost-of-living/in/Delhi" xr:uid="{60EEA602-2CB4-AA40-A4F6-73B8858D016D}"/>
    <hyperlink ref="B508" r:id="rId507" display="https://www.numbeo.com/cost-of-living/in/Pune" xr:uid="{B5E0475B-5CB7-B141-8C4A-7764B252A72F}"/>
    <hyperlink ref="B509" r:id="rId508" display="https://www.numbeo.com/cost-of-living/in/Cairo-Egypt" xr:uid="{D12A5A40-A2A0-5743-9CF4-5971DE1BF4F3}"/>
    <hyperlink ref="B510" r:id="rId509" display="https://www.numbeo.com/cost-of-living/in/Karachi" xr:uid="{71DF008B-D5CC-0C48-A161-974FD4C546CF}"/>
    <hyperlink ref="B511" r:id="rId510" display="https://www.numbeo.com/cost-of-living/in/Bangalore" xr:uid="{74B8B881-C226-E640-AFAD-FB7FF8C3559C}"/>
    <hyperlink ref="B512" r:id="rId511" display="https://www.numbeo.com/cost-of-living/in/Hyderabad" xr:uid="{1462FE63-225B-B541-B29C-60F6661EBFD1}"/>
    <hyperlink ref="B513" r:id="rId512" display="https://www.numbeo.com/cost-of-living/in/Noida" xr:uid="{3F4FE8CD-142A-0442-8F3E-49A2038A6ECE}"/>
    <hyperlink ref="B514" r:id="rId513" display="https://www.numbeo.com/cost-of-living/in/Rawalpindi" xr:uid="{45A59F30-5965-DD48-AFD1-A175F930B80A}"/>
    <hyperlink ref="B515" r:id="rId514" display="https://www.numbeo.com/cost-of-living/in/Ahmedabad" xr:uid="{B2338567-3462-9B4C-A96B-036D540B7515}"/>
    <hyperlink ref="B516" r:id="rId515" display="https://www.numbeo.com/cost-of-living/in/Lahore" xr:uid="{ADE6F8BE-E310-BE4A-8E9C-E9CAFF341C12}"/>
    <hyperlink ref="B517" r:id="rId516" display="https://www.numbeo.com/cost-of-living/in/Navi-Mumbai" xr:uid="{F132070B-168D-7743-90D8-42306FA23EBC}"/>
    <hyperlink ref="B518" r:id="rId517" display="https://www.numbeo.com/cost-of-living/in/Thane" xr:uid="{1674C4AE-CA55-FC47-B388-03978EB9A3DE}"/>
    <hyperlink ref="B519" r:id="rId518" display="https://www.numbeo.com/cost-of-living/in/Chennai" xr:uid="{D673CADD-E91F-514D-BC98-84C40962FC48}"/>
    <hyperlink ref="B520" r:id="rId519" display="https://www.numbeo.com/cost-of-living/in/Chandigarh" xr:uid="{EFDC02DD-9841-7941-9E41-B25D8101D1AD}"/>
    <hyperlink ref="B521" r:id="rId520" display="https://www.numbeo.com/cost-of-living/in/Vadodara" xr:uid="{127FC062-AF57-D14C-AC65-7A28DD97C571}"/>
    <hyperlink ref="B522" r:id="rId521" display="https://www.numbeo.com/cost-of-living/in/Alexandria" xr:uid="{87CCD86C-8E49-C746-BB38-5A4E9741E6F1}"/>
    <hyperlink ref="B523" r:id="rId522" display="https://www.numbeo.com/cost-of-living/in/Kolkata" xr:uid="{56B91491-F145-8C44-B5EC-9A0AE84E8263}"/>
    <hyperlink ref="B524" r:id="rId523" display="https://www.numbeo.com/cost-of-living/in/Giza" xr:uid="{914A7517-BF5F-DD4A-A7BF-174ED91FE845}"/>
    <hyperlink ref="B525" r:id="rId524" display="https://www.numbeo.com/cost-of-living/in/Patna" xr:uid="{C94BE836-9B0F-5D43-B48F-A797C45B89C6}"/>
    <hyperlink ref="B526" r:id="rId525" display="https://www.numbeo.com/cost-of-living/in/Bhubaneswar" xr:uid="{35E1D265-72E5-514C-B9E3-196958638B4E}"/>
    <hyperlink ref="B527" r:id="rId526" display="https://www.numbeo.com/cost-of-living/in/Kochi" xr:uid="{C50CB079-835C-3642-A2C7-A7316C91C9CC}"/>
    <hyperlink ref="B528" r:id="rId527" display="https://www.numbeo.com/cost-of-living/in/Jaipur" xr:uid="{CBB3E6D0-AC25-DF43-8D92-3C271FC2B123}"/>
    <hyperlink ref="B529" r:id="rId528" display="https://www.numbeo.com/cost-of-living/in/Bhopal" xr:uid="{0DFBBB16-42E4-9843-8E02-C58440CDF226}"/>
    <hyperlink ref="B530" r:id="rId529" display="https://www.numbeo.com/cost-of-living/in/Surat" xr:uid="{6D872D98-7AB1-144F-B336-B0F4051FEA5F}"/>
    <hyperlink ref="B531" r:id="rId530" display="https://www.numbeo.com/cost-of-living/in/Indore" xr:uid="{E63AD591-C19F-C34E-AD8F-0877A804DE0A}"/>
    <hyperlink ref="B532" r:id="rId531" display="https://www.numbeo.com/cost-of-living/in/Guwahati" xr:uid="{59450440-95D5-FA4F-8D54-0BBFDBF2911C}"/>
    <hyperlink ref="B533" r:id="rId532" display="https://www.numbeo.com/cost-of-living/in/Lucknow-Lakhnau" xr:uid="{6967E53E-0B79-6F42-B86E-D085874F81F1}"/>
    <hyperlink ref="B534" r:id="rId533" display="https://www.numbeo.com/cost-of-living/in/Rajkot" xr:uid="{D370D25C-0E71-DF42-B2AD-5702BD21F73C}"/>
    <hyperlink ref="B535" r:id="rId534" display="https://www.numbeo.com/cost-of-living/in/Coimbatore" xr:uid="{3DDAA2B5-61B8-B34F-8FAB-035A5CCAF572}"/>
  </hyperlinks>
  <pageMargins left="0.7" right="0.7" top="0.75" bottom="0.75" header="0.3" footer="0.3"/>
  <tableParts count="1">
    <tablePart r:id="rId53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5C539D-E2D2-C148-8FB1-19C10E63C859}">
  <dimension ref="A1:P8"/>
  <sheetViews>
    <sheetView zoomScale="143" workbookViewId="0">
      <pane ySplit="2" topLeftCell="A3" activePane="bottomLeft" state="frozen"/>
      <selection pane="bottomLeft" activeCell="D25" sqref="D25"/>
    </sheetView>
  </sheetViews>
  <sheetFormatPr baseColWidth="10" defaultRowHeight="16" x14ac:dyDescent="0.2"/>
  <cols>
    <col min="1" max="3" width="15" customWidth="1"/>
    <col min="4" max="8" width="15.83203125" customWidth="1"/>
    <col min="9" max="9" width="26.1640625" bestFit="1" customWidth="1"/>
    <col min="10" max="13" width="15.83203125" customWidth="1"/>
    <col min="14" max="14" width="21" bestFit="1" customWidth="1"/>
    <col min="15" max="15" width="16.5" bestFit="1" customWidth="1"/>
    <col min="16" max="16" width="24.5" bestFit="1" customWidth="1"/>
    <col min="17" max="17" width="15.83203125" customWidth="1"/>
  </cols>
  <sheetData>
    <row r="1" spans="1:16" x14ac:dyDescent="0.2">
      <c r="A1" s="36" t="s">
        <v>585</v>
      </c>
      <c r="B1" s="33"/>
      <c r="C1" s="33"/>
      <c r="D1" s="33"/>
      <c r="E1" s="37" t="s">
        <v>586</v>
      </c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</row>
    <row r="2" spans="1:16" x14ac:dyDescent="0.2">
      <c r="A2" s="35" t="s">
        <v>1</v>
      </c>
      <c r="B2" s="35" t="s">
        <v>2</v>
      </c>
      <c r="C2" s="35" t="s">
        <v>3</v>
      </c>
      <c r="D2" s="35" t="s">
        <v>43</v>
      </c>
      <c r="E2" s="35" t="s">
        <v>44</v>
      </c>
      <c r="F2" s="35" t="s">
        <v>46</v>
      </c>
      <c r="G2" s="35" t="s">
        <v>587</v>
      </c>
      <c r="H2" s="35" t="s">
        <v>588</v>
      </c>
      <c r="I2" s="35" t="s">
        <v>48</v>
      </c>
      <c r="J2" s="35" t="s">
        <v>4</v>
      </c>
      <c r="K2" s="35" t="s">
        <v>5</v>
      </c>
      <c r="L2" s="35" t="s">
        <v>6</v>
      </c>
      <c r="M2" s="35" t="s">
        <v>584</v>
      </c>
      <c r="N2" s="35" t="s">
        <v>589</v>
      </c>
      <c r="O2" s="35" t="s">
        <v>7</v>
      </c>
      <c r="P2" s="35" t="s">
        <v>583</v>
      </c>
    </row>
    <row r="3" spans="1:16" x14ac:dyDescent="0.2">
      <c r="A3" s="25" t="s">
        <v>17</v>
      </c>
      <c r="B3" s="13" t="s">
        <v>18</v>
      </c>
      <c r="C3" s="13" t="s">
        <v>9</v>
      </c>
      <c r="D3" s="14">
        <v>39.1</v>
      </c>
      <c r="E3" s="14">
        <v>13.9</v>
      </c>
      <c r="F3" s="14">
        <v>47.1</v>
      </c>
      <c r="G3" s="14">
        <v>30.6</v>
      </c>
      <c r="H3" s="14">
        <v>27.3</v>
      </c>
      <c r="I3" s="14">
        <v>111.8</v>
      </c>
      <c r="J3" s="14">
        <f>H3/I3</f>
        <v>0.24418604651162792</v>
      </c>
      <c r="K3" s="14">
        <f t="shared" ref="K3:K8" si="0">J3/AVERAGE($J$3:$J$8)</f>
        <v>0.54072372583576034</v>
      </c>
      <c r="L3" s="21" t="str">
        <f t="shared" ref="L3:L8" si="1">IF(K3&gt;1,"Less Affordable","More Affordable")</f>
        <v>More Affordable</v>
      </c>
      <c r="M3" s="16">
        <f t="shared" ref="M3:M8" si="2">RANK(J3,$J$3:$J$8,1)</f>
        <v>1</v>
      </c>
      <c r="N3" s="14">
        <f>E3/D3</f>
        <v>0.35549872122762149</v>
      </c>
      <c r="O3" s="14">
        <f t="shared" ref="O3:O8" si="3">F3-G3</f>
        <v>16.5</v>
      </c>
      <c r="P3" s="17">
        <f t="shared" ref="P3:P8" si="4">RANK(H3,$H$3:$H$8,0)</f>
        <v>5</v>
      </c>
    </row>
    <row r="4" spans="1:16" x14ac:dyDescent="0.2">
      <c r="A4" s="18" t="s">
        <v>13</v>
      </c>
      <c r="B4" s="13" t="s">
        <v>14</v>
      </c>
      <c r="C4" s="13" t="s">
        <v>12</v>
      </c>
      <c r="D4" s="14">
        <v>54.9</v>
      </c>
      <c r="E4" s="14">
        <v>23.2</v>
      </c>
      <c r="F4" s="14">
        <v>63.9</v>
      </c>
      <c r="G4" s="14">
        <v>35.799999999999997</v>
      </c>
      <c r="H4" s="14">
        <v>40.200000000000003</v>
      </c>
      <c r="I4" s="14">
        <v>124.1</v>
      </c>
      <c r="J4" s="14">
        <f t="shared" ref="J4:J8" si="5">H4/I4</f>
        <v>0.32393231265108785</v>
      </c>
      <c r="K4" s="14">
        <f t="shared" si="0"/>
        <v>0.71731325158642822</v>
      </c>
      <c r="L4" s="21" t="str">
        <f t="shared" si="1"/>
        <v>More Affordable</v>
      </c>
      <c r="M4" s="16">
        <f t="shared" si="2"/>
        <v>2</v>
      </c>
      <c r="N4" s="14">
        <f t="shared" ref="N4:N8" si="6">E4/D4</f>
        <v>0.42258652094717669</v>
      </c>
      <c r="O4" s="14">
        <f t="shared" si="3"/>
        <v>28.1</v>
      </c>
      <c r="P4" s="17">
        <f t="shared" si="4"/>
        <v>3</v>
      </c>
    </row>
    <row r="5" spans="1:16" x14ac:dyDescent="0.2">
      <c r="A5" s="18" t="s">
        <v>10</v>
      </c>
      <c r="B5" s="19" t="s">
        <v>11</v>
      </c>
      <c r="C5" s="19" t="s">
        <v>12</v>
      </c>
      <c r="D5" s="20">
        <v>67.099999999999994</v>
      </c>
      <c r="E5" s="20">
        <v>20.3</v>
      </c>
      <c r="F5" s="20">
        <v>79.599999999999994</v>
      </c>
      <c r="G5" s="20">
        <v>44</v>
      </c>
      <c r="H5" s="20">
        <v>45.3</v>
      </c>
      <c r="I5" s="20">
        <v>138.6</v>
      </c>
      <c r="J5" s="20">
        <f t="shared" si="5"/>
        <v>0.32683982683982682</v>
      </c>
      <c r="K5" s="20">
        <f t="shared" si="0"/>
        <v>0.7237516289118926</v>
      </c>
      <c r="L5" s="21" t="str">
        <f t="shared" si="1"/>
        <v>More Affordable</v>
      </c>
      <c r="M5" s="22">
        <f t="shared" si="2"/>
        <v>3</v>
      </c>
      <c r="N5" s="20">
        <f t="shared" si="6"/>
        <v>0.30253353204172878</v>
      </c>
      <c r="O5" s="20">
        <f t="shared" si="3"/>
        <v>35.599999999999994</v>
      </c>
      <c r="P5" s="23">
        <f t="shared" si="4"/>
        <v>2</v>
      </c>
    </row>
    <row r="6" spans="1:16" x14ac:dyDescent="0.2">
      <c r="A6" s="27" t="s">
        <v>19</v>
      </c>
      <c r="B6" s="19" t="s">
        <v>20</v>
      </c>
      <c r="C6" s="19" t="s">
        <v>9</v>
      </c>
      <c r="D6" s="20">
        <v>29.7</v>
      </c>
      <c r="E6" s="20">
        <v>11.3</v>
      </c>
      <c r="F6" s="20">
        <v>37.299999999999997</v>
      </c>
      <c r="G6" s="20">
        <v>17.3</v>
      </c>
      <c r="H6" s="20">
        <v>21.1</v>
      </c>
      <c r="I6" s="20">
        <v>44.1</v>
      </c>
      <c r="J6" s="20">
        <f t="shared" si="5"/>
        <v>0.47845804988662133</v>
      </c>
      <c r="K6" s="20">
        <f t="shared" si="0"/>
        <v>1.0594938698861576</v>
      </c>
      <c r="L6" s="15" t="str">
        <f t="shared" si="1"/>
        <v>Less Affordable</v>
      </c>
      <c r="M6" s="22">
        <f t="shared" si="2"/>
        <v>4</v>
      </c>
      <c r="N6" s="20">
        <f t="shared" si="6"/>
        <v>0.38047138047138052</v>
      </c>
      <c r="O6" s="20">
        <f t="shared" si="3"/>
        <v>19.999999999999996</v>
      </c>
      <c r="P6" s="23">
        <f t="shared" si="4"/>
        <v>6</v>
      </c>
    </row>
    <row r="7" spans="1:16" x14ac:dyDescent="0.2">
      <c r="A7" s="24" t="s">
        <v>15</v>
      </c>
      <c r="B7" s="19" t="s">
        <v>16</v>
      </c>
      <c r="C7" s="19" t="s">
        <v>9</v>
      </c>
      <c r="D7" s="20">
        <v>40.9</v>
      </c>
      <c r="E7" s="20">
        <v>17.399999999999999</v>
      </c>
      <c r="F7" s="20">
        <v>45.7</v>
      </c>
      <c r="G7" s="20">
        <v>26.7</v>
      </c>
      <c r="H7" s="20">
        <v>30</v>
      </c>
      <c r="I7" s="20">
        <v>49.9</v>
      </c>
      <c r="J7" s="20">
        <f t="shared" si="5"/>
        <v>0.60120240480961928</v>
      </c>
      <c r="K7" s="20">
        <f t="shared" si="0"/>
        <v>1.3312980366984077</v>
      </c>
      <c r="L7" s="15" t="str">
        <f t="shared" si="1"/>
        <v>Less Affordable</v>
      </c>
      <c r="M7" s="22">
        <f t="shared" si="2"/>
        <v>5</v>
      </c>
      <c r="N7" s="20">
        <f t="shared" si="6"/>
        <v>0.42542787286063566</v>
      </c>
      <c r="O7" s="20">
        <f t="shared" si="3"/>
        <v>19.000000000000004</v>
      </c>
      <c r="P7" s="23">
        <f t="shared" si="4"/>
        <v>4</v>
      </c>
    </row>
    <row r="8" spans="1:16" x14ac:dyDescent="0.2">
      <c r="A8" s="28" t="s">
        <v>8</v>
      </c>
      <c r="B8" s="29" t="s">
        <v>8</v>
      </c>
      <c r="C8" s="29" t="s">
        <v>9</v>
      </c>
      <c r="D8" s="30">
        <v>87.9</v>
      </c>
      <c r="E8" s="30">
        <v>64</v>
      </c>
      <c r="F8" s="30">
        <v>79.7</v>
      </c>
      <c r="G8" s="30">
        <v>54</v>
      </c>
      <c r="H8" s="30">
        <v>76.8</v>
      </c>
      <c r="I8" s="30">
        <v>104.5</v>
      </c>
      <c r="J8" s="30">
        <f t="shared" si="5"/>
        <v>0.73492822966507176</v>
      </c>
      <c r="K8" s="30">
        <f t="shared" si="0"/>
        <v>1.627419487081353</v>
      </c>
      <c r="L8" s="26" t="str">
        <f t="shared" si="1"/>
        <v>Less Affordable</v>
      </c>
      <c r="M8" s="31">
        <f t="shared" si="2"/>
        <v>6</v>
      </c>
      <c r="N8" s="30">
        <f t="shared" si="6"/>
        <v>0.72810011376564276</v>
      </c>
      <c r="O8" s="30">
        <f t="shared" si="3"/>
        <v>25.700000000000003</v>
      </c>
      <c r="P8" s="32">
        <f t="shared" si="4"/>
        <v>1</v>
      </c>
    </row>
  </sheetData>
  <phoneticPr fontId="13" type="noConversion"/>
  <conditionalFormatting sqref="L3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pageSetup paperSize="9" orientation="portrait" horizontalDpi="0" verticalDpi="0"/>
  <ignoredErrors>
    <ignoredError sqref="L3:L8" calculatedColumn="1"/>
  </ignoredErrors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CE390-A5E0-034D-988C-51EBA9219352}">
  <dimension ref="A1:A37"/>
  <sheetViews>
    <sheetView showGridLines="0" topLeftCell="A7" zoomScale="143" workbookViewId="0">
      <selection activeCell="C32" sqref="C32"/>
    </sheetView>
  </sheetViews>
  <sheetFormatPr baseColWidth="10" defaultRowHeight="16" x14ac:dyDescent="0.2"/>
  <cols>
    <col min="1" max="1" width="100" customWidth="1"/>
  </cols>
  <sheetData>
    <row r="1" spans="1:1" ht="24" x14ac:dyDescent="0.3">
      <c r="A1" s="1" t="s">
        <v>21</v>
      </c>
    </row>
    <row r="2" spans="1:1" x14ac:dyDescent="0.2">
      <c r="A2" s="2" t="s">
        <v>22</v>
      </c>
    </row>
    <row r="4" spans="1:1" x14ac:dyDescent="0.2">
      <c r="A4" s="49" t="s">
        <v>23</v>
      </c>
    </row>
    <row r="5" spans="1:1" x14ac:dyDescent="0.2">
      <c r="A5" s="6" t="s">
        <v>24</v>
      </c>
    </row>
    <row r="7" spans="1:1" x14ac:dyDescent="0.2">
      <c r="A7" s="49" t="s">
        <v>25</v>
      </c>
    </row>
    <row r="8" spans="1:1" x14ac:dyDescent="0.2">
      <c r="A8" s="4" t="s">
        <v>613</v>
      </c>
    </row>
    <row r="9" spans="1:1" ht="30" x14ac:dyDescent="0.2">
      <c r="A9" s="3" t="s">
        <v>614</v>
      </c>
    </row>
    <row r="11" spans="1:1" x14ac:dyDescent="0.2">
      <c r="A11" s="4" t="s">
        <v>26</v>
      </c>
    </row>
    <row r="12" spans="1:1" ht="30" x14ac:dyDescent="0.2">
      <c r="A12" s="3" t="s">
        <v>40</v>
      </c>
    </row>
    <row r="14" spans="1:1" x14ac:dyDescent="0.2">
      <c r="A14" s="4" t="s">
        <v>27</v>
      </c>
    </row>
    <row r="15" spans="1:1" ht="30" x14ac:dyDescent="0.2">
      <c r="A15" s="3" t="s">
        <v>28</v>
      </c>
    </row>
    <row r="17" spans="1:1" x14ac:dyDescent="0.2">
      <c r="A17" s="4" t="s">
        <v>615</v>
      </c>
    </row>
    <row r="18" spans="1:1" x14ac:dyDescent="0.2">
      <c r="A18" s="3" t="s">
        <v>41</v>
      </c>
    </row>
    <row r="20" spans="1:1" x14ac:dyDescent="0.2">
      <c r="A20" s="4" t="s">
        <v>29</v>
      </c>
    </row>
    <row r="21" spans="1:1" ht="30" x14ac:dyDescent="0.2">
      <c r="A21" s="3" t="s">
        <v>30</v>
      </c>
    </row>
    <row r="23" spans="1:1" x14ac:dyDescent="0.2">
      <c r="A23" s="4" t="s">
        <v>31</v>
      </c>
    </row>
    <row r="24" spans="1:1" ht="30" x14ac:dyDescent="0.2">
      <c r="A24" s="6" t="s">
        <v>42</v>
      </c>
    </row>
    <row r="26" spans="1:1" x14ac:dyDescent="0.2">
      <c r="A26" s="49" t="s">
        <v>32</v>
      </c>
    </row>
    <row r="27" spans="1:1" x14ac:dyDescent="0.2">
      <c r="A27" s="4" t="s">
        <v>33</v>
      </c>
    </row>
    <row r="28" spans="1:1" x14ac:dyDescent="0.2">
      <c r="A28" s="3" t="s">
        <v>34</v>
      </c>
    </row>
    <row r="30" spans="1:1" x14ac:dyDescent="0.2">
      <c r="A30" s="4" t="s">
        <v>35</v>
      </c>
    </row>
    <row r="31" spans="1:1" x14ac:dyDescent="0.2">
      <c r="A31" s="3" t="s">
        <v>36</v>
      </c>
    </row>
    <row r="33" spans="1:1" x14ac:dyDescent="0.2">
      <c r="A33" s="4" t="s">
        <v>37</v>
      </c>
    </row>
    <row r="34" spans="1:1" x14ac:dyDescent="0.2">
      <c r="A34" s="6" t="s">
        <v>38</v>
      </c>
    </row>
    <row r="36" spans="1:1" x14ac:dyDescent="0.2">
      <c r="A36" s="48" t="s">
        <v>39</v>
      </c>
    </row>
    <row r="37" spans="1:1" x14ac:dyDescent="0.2">
      <c r="A37" s="5" t="s">
        <v>616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Intro</vt:lpstr>
      <vt:lpstr>Raw Data</vt:lpstr>
      <vt:lpstr>Data</vt:lpstr>
      <vt:lpstr>Key Insights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Umut Sarikaya</dc:creator>
  <cp:lastModifiedBy>Umut Sarıkaya</cp:lastModifiedBy>
  <dcterms:created xsi:type="dcterms:W3CDTF">2026-03-20T09:26:43Z</dcterms:created>
  <dcterms:modified xsi:type="dcterms:W3CDTF">2026-03-25T05:03:03Z</dcterms:modified>
</cp:coreProperties>
</file>